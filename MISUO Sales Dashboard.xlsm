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2.xml" ContentType="application/vnd.openxmlformats-officedocument.drawingml.chartshap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4.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mc:AlternateContent xmlns:mc="http://schemas.openxmlformats.org/markup-compatibility/2006">
    <mc:Choice Requires="x15">
      <x15ac:absPath xmlns:x15ac="http://schemas.microsoft.com/office/spreadsheetml/2010/11/ac" url="C:\Users\oelga\Desktop\M-Course\"/>
    </mc:Choice>
  </mc:AlternateContent>
  <xr:revisionPtr revIDLastSave="0" documentId="13_ncr:1_{3B216700-E9C3-467C-9327-D107CD9657F2}" xr6:coauthVersionLast="47" xr6:coauthVersionMax="47" xr10:uidLastSave="{00000000-0000-0000-0000-000000000000}"/>
  <bookViews>
    <workbookView xWindow="28680" yWindow="-6600" windowWidth="29040" windowHeight="15840" firstSheet="3" activeTab="4" xr2:uid="{00000000-000D-0000-FFFF-FFFF00000000}"/>
  </bookViews>
  <sheets>
    <sheet name="Raw_Data" sheetId="1" state="hidden" r:id="rId1"/>
    <sheet name="Main_Data (Cleaned)" sheetId="5" state="hidden" r:id="rId2"/>
    <sheet name="Address " sheetId="11" state="hidden" r:id="rId3"/>
    <sheet name="Analysis (Pvt)" sheetId="12" r:id="rId4"/>
    <sheet name="Dashboard" sheetId="14" r:id="rId5"/>
    <sheet name="Table1" sheetId="6" state="hidden" r:id="rId6"/>
  </sheets>
  <externalReferences>
    <externalReference r:id="rId7"/>
  </externalReferences>
  <definedNames>
    <definedName name="_xlnm._FilterDatabase" localSheetId="0" hidden="1">Raw_Data!$A$1:$U$88</definedName>
    <definedName name="ExternalData_2" localSheetId="1" hidden="1">'Main_Data (Cleaned)'!$A$1:$W$126</definedName>
    <definedName name="ExternalData_3" localSheetId="2" hidden="1">'Address '!$A$1:$B$46</definedName>
    <definedName name="ExternalData_3" localSheetId="5" hidden="1">Table1!$A$1:$U$127</definedName>
    <definedName name="Range">[1]Analysis!$B$18</definedName>
    <definedName name="Slicer_المحافظة">#N/A</definedName>
    <definedName name="Slicer_النوع">#N/A</definedName>
    <definedName name="Slicer_نوع_العميل">#N/A</definedName>
  </definedNames>
  <calcPr calcId="191028"/>
  <pivotCaches>
    <pivotCache cacheId="0"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_0e23f04f-3266-4322-8bfc-c25d725ff0f5" name="Table1" connection="Query - 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33" i="12" l="1"/>
  <c r="U32" i="12"/>
  <c r="C21" i="12"/>
  <c r="C22" i="12"/>
  <c r="C20" i="12"/>
  <c r="C19" i="12"/>
  <c r="D22" i="12"/>
  <c r="D20" i="12"/>
  <c r="D21" i="12"/>
  <c r="D19" i="12"/>
  <c r="AK22" i="12"/>
  <c r="AK23" i="12"/>
  <c r="AK24" i="12"/>
  <c r="AK25" i="12"/>
  <c r="AK26" i="12"/>
  <c r="AK21" i="12"/>
  <c r="AJ22" i="12"/>
  <c r="AJ23" i="12"/>
  <c r="AJ24" i="12"/>
  <c r="AJ25" i="12"/>
  <c r="AJ26" i="12"/>
  <c r="AJ21" i="12"/>
  <c r="I7" i="12"/>
  <c r="H7" i="12"/>
  <c r="V29" i="12"/>
  <c r="V28" i="12"/>
  <c r="V27" i="12"/>
  <c r="V26" i="12"/>
  <c r="V25" i="12"/>
  <c r="V24" i="12"/>
  <c r="V23" i="12"/>
  <c r="V22" i="12"/>
  <c r="Q29" i="12"/>
  <c r="Q28" i="12"/>
  <c r="Q27" i="12"/>
  <c r="Q26" i="12"/>
  <c r="Q25" i="12"/>
  <c r="P29" i="12"/>
  <c r="P28" i="12"/>
  <c r="P27" i="12"/>
  <c r="P26" i="12"/>
  <c r="P25" i="12"/>
  <c r="AB16" i="12"/>
  <c r="AC16" i="12" s="1"/>
  <c r="AB17" i="12"/>
  <c r="AC17" i="12" s="1"/>
  <c r="AB15" i="12"/>
  <c r="AC15" i="12" s="1"/>
  <c r="AA16" i="12"/>
  <c r="AA17" i="12"/>
  <c r="AA15" i="12"/>
  <c r="G5" i="12"/>
  <c r="F5" i="12"/>
  <c r="H5" i="12" l="1"/>
  <c r="Q23" i="12" s="1"/>
  <c r="P35" i="1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18E8E9E-8288-4147-AB03-DE5DAE5BD21F}" keepAlive="1" name="ModelConnection_ExternalData_3" description="Data Model" type="5" refreshedVersion="8" minRefreshableVersion="5" saveData="1">
    <dbPr connection="Data Model Connection" command="Table1" commandType="3"/>
    <extLst>
      <ext xmlns:x15="http://schemas.microsoft.com/office/spreadsheetml/2010/11/main" uri="{DE250136-89BD-433C-8126-D09CA5730AF9}">
        <x15:connection id="" model="1"/>
      </ext>
    </extLst>
  </connection>
  <connection id="2" xr16:uid="{4632023A-15A1-4E79-8464-8728CCC7D62B}" keepAlive="1" name="Query - Address" description="Connection to the 'Address' query in the workbook." type="5" refreshedVersion="8" background="1" saveData="1">
    <dbPr connection="Provider=Microsoft.Mashup.OleDb.1;Data Source=$Workbook$;Location=Address;Extended Properties=&quot;&quot;" command="SELECT * FROM [Address]"/>
  </connection>
  <connection id="3" xr16:uid="{2D19C1FE-261F-428B-B43C-F5D60D9938BC}" keepAlive="1" name="Query - Main_data" description="Connection to the 'Main_data' query in the workbook." type="5" refreshedVersion="8" background="1" saveData="1">
    <dbPr connection="Provider=Microsoft.Mashup.OleDb.1;Data Source=$Workbook$;Location=Main_data;Extended Properties=&quot;&quot;" command="SELECT * FROM [Main_data]"/>
  </connection>
  <connection id="4" xr16:uid="{5025D8B0-DD44-4BA8-8A16-9702E9B0195B}" name="Query - Table1" description="Connection to the 'Table1' query in the workbook." type="100" refreshedVersion="8" minRefreshableVersion="5">
    <extLst>
      <ext xmlns:x15="http://schemas.microsoft.com/office/spreadsheetml/2010/11/main" uri="{DE250136-89BD-433C-8126-D09CA5730AF9}">
        <x15:connection id="c37f3924-4c10-4ed5-9990-8d498e266e0b"/>
      </ext>
    </extLst>
  </connection>
  <connection id="5" xr16:uid="{8CAB9135-74B7-407E-9699-03B6DAED87FE}" keepAlive="1" name="ThisWorkbookDataModel" description="Data Model" type="5" refreshedVersion="6"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<sst xmlns="http://schemas.openxmlformats.org/spreadsheetml/2006/main" count="5403" uniqueCount="980">
  <si>
    <t>أسم العميل</t>
  </si>
  <si>
    <t>العنوان</t>
  </si>
  <si>
    <t>المنتج</t>
  </si>
  <si>
    <t>تاريخ التسليم</t>
  </si>
  <si>
    <t>المسئول عن التسليم</t>
  </si>
  <si>
    <t>م</t>
  </si>
  <si>
    <t>رقم الموبيل</t>
  </si>
  <si>
    <t xml:space="preserve">منصة البيع </t>
  </si>
  <si>
    <t>هومزمارت</t>
  </si>
  <si>
    <t xml:space="preserve">سعر البيع </t>
  </si>
  <si>
    <t xml:space="preserve">طريقه الدفع </t>
  </si>
  <si>
    <t>ميعاد التسليم</t>
  </si>
  <si>
    <t>ميعاد الطلب</t>
  </si>
  <si>
    <t xml:space="preserve">خالد عبد القوى </t>
  </si>
  <si>
    <t>العجوزه - الجيزه</t>
  </si>
  <si>
    <t xml:space="preserve">سرير منطبق الحديد ابيض والقماش ابيض </t>
  </si>
  <si>
    <t>مسبق الدفع</t>
  </si>
  <si>
    <t>27\7\2024</t>
  </si>
  <si>
    <t>محمود</t>
  </si>
  <si>
    <t>سموحه - اسكندريه</t>
  </si>
  <si>
    <t xml:space="preserve">سرير منطبق اسود والقماش اسود </t>
  </si>
  <si>
    <t>28\7\2024</t>
  </si>
  <si>
    <t>سعيد</t>
  </si>
  <si>
    <t xml:space="preserve">سيدى عبد الرحمن - الساحل الشمالى </t>
  </si>
  <si>
    <t xml:space="preserve">سرير كيفينج مقاس 90 لون ازرق </t>
  </si>
  <si>
    <t>ساندرا</t>
  </si>
  <si>
    <t xml:space="preserve">الغردقه </t>
  </si>
  <si>
    <t xml:space="preserve">ترابيزه قهوه متحركه </t>
  </si>
  <si>
    <t xml:space="preserve">تم التسليم عن طريق شركه شحن </t>
  </si>
  <si>
    <t xml:space="preserve">زينا </t>
  </si>
  <si>
    <t xml:space="preserve">سرير نوفال متر رمادى </t>
  </si>
  <si>
    <t xml:space="preserve">شيك هومز </t>
  </si>
  <si>
    <t xml:space="preserve">كنبه سرير رمادى </t>
  </si>
  <si>
    <t xml:space="preserve">احمد </t>
  </si>
  <si>
    <t>التجمع الخامس</t>
  </si>
  <si>
    <t>فيس بوك</t>
  </si>
  <si>
    <t xml:space="preserve">تم تسليم العميل عن طريق شركه شحن </t>
  </si>
  <si>
    <t xml:space="preserve">فشل التسليم </t>
  </si>
  <si>
    <t>yilmaz</t>
  </si>
  <si>
    <t xml:space="preserve">٦ اكتوبر الجيزه </t>
  </si>
  <si>
    <t xml:space="preserve">سرير فردى ابيض </t>
  </si>
  <si>
    <t xml:space="preserve">تاكى </t>
  </si>
  <si>
    <t>العباسيه</t>
  </si>
  <si>
    <t>تاكى</t>
  </si>
  <si>
    <t xml:space="preserve">ركنه </t>
  </si>
  <si>
    <t>٢ كنبه سحاره بمخدع</t>
  </si>
  <si>
    <t xml:space="preserve">العباسيه </t>
  </si>
  <si>
    <t xml:space="preserve">٢ كنبه سحاره بدون مخدع </t>
  </si>
  <si>
    <t xml:space="preserve">على رشوان </t>
  </si>
  <si>
    <t>مصر الجديده</t>
  </si>
  <si>
    <t>سرير نوفال ابيض مقاس ٨٠</t>
  </si>
  <si>
    <t xml:space="preserve">سرير كينج ابيض </t>
  </si>
  <si>
    <t>شيك هومز</t>
  </si>
  <si>
    <t xml:space="preserve">سرير كينج اسود </t>
  </si>
  <si>
    <t xml:space="preserve">فيصل نعيم </t>
  </si>
  <si>
    <t xml:space="preserve">التجمع الخامس </t>
  </si>
  <si>
    <t xml:space="preserve">اوسكار ريتن </t>
  </si>
  <si>
    <t xml:space="preserve">٢ سرير كيفنج ١٢٠ اسود </t>
  </si>
  <si>
    <t>ellho elkafy</t>
  </si>
  <si>
    <t xml:space="preserve">مدينه نصر </t>
  </si>
  <si>
    <t xml:space="preserve">سرير كينج ابيض مقاس ٨٠ التصميم الجديد </t>
  </si>
  <si>
    <t xml:space="preserve">لينا </t>
  </si>
  <si>
    <t xml:space="preserve">المقطم </t>
  </si>
  <si>
    <t xml:space="preserve">ترابيزه قهوه علويه جديده </t>
  </si>
  <si>
    <t xml:space="preserve">٢ فوتيه فنيسيا </t>
  </si>
  <si>
    <t xml:space="preserve">احمد فخرى </t>
  </si>
  <si>
    <t>سرير فردى خشب موسكى الحديد ابيض مقاس ٨٠</t>
  </si>
  <si>
    <t>القاهره الجديده</t>
  </si>
  <si>
    <t>٤سرير فردى خشب موسكى الحديد ابيض مقاس ٨٠</t>
  </si>
  <si>
    <t>حسن حازم</t>
  </si>
  <si>
    <t>سرير اسبانى ابيض ١٢٠</t>
  </si>
  <si>
    <t xml:space="preserve">رنا </t>
  </si>
  <si>
    <t xml:space="preserve">القطاميه </t>
  </si>
  <si>
    <t xml:space="preserve">على السيد </t>
  </si>
  <si>
    <t xml:space="preserve">الشروق القاهره </t>
  </si>
  <si>
    <t xml:space="preserve">هشام بسيونى </t>
  </si>
  <si>
    <t xml:space="preserve">حدايق الاهرام </t>
  </si>
  <si>
    <t xml:space="preserve">سرير نوفال  ٩٠ اسود </t>
  </si>
  <si>
    <t xml:space="preserve">            ٢ سرير كيفنج ١٠٠ اسود </t>
  </si>
  <si>
    <t>عبير نور الدين</t>
  </si>
  <si>
    <t xml:space="preserve">١٨ شارع البحيري بولاق الدكرور الجيزه </t>
  </si>
  <si>
    <t>1229928475-01022373996</t>
  </si>
  <si>
    <t xml:space="preserve">سرير ٣ ادورا اسود مقاس ١٠٠ </t>
  </si>
  <si>
    <t>اوسكار راتن</t>
  </si>
  <si>
    <t xml:space="preserve">مخزن اوسكار في القناطر </t>
  </si>
  <si>
    <t>حساب شركه</t>
  </si>
  <si>
    <t xml:space="preserve">٢ سرير ارفيل ١٢٠ اسود </t>
  </si>
  <si>
    <t>٢ سريرفورجينا خشب موسكى ابيض مقاس ١٢٠</t>
  </si>
  <si>
    <t>الشروق</t>
  </si>
  <si>
    <t xml:space="preserve">ساره وجيه </t>
  </si>
  <si>
    <t xml:space="preserve">سرير كيفنج دورين مقاس ٨٠ ابيض </t>
  </si>
  <si>
    <t xml:space="preserve">سرير ٣ ادوار ابيض مقاس ٨٠ ابيض </t>
  </si>
  <si>
    <t xml:space="preserve">مها </t>
  </si>
  <si>
    <t xml:space="preserve">لافيستا العين السخنه </t>
  </si>
  <si>
    <t>سرير استيل ازرق مقاس ١٤٠</t>
  </si>
  <si>
    <t xml:space="preserve">اسراء ابو العنين </t>
  </si>
  <si>
    <t>سرير اسبانى اسود مقاس ١٢٠</t>
  </si>
  <si>
    <t xml:space="preserve">بسام الشربينى </t>
  </si>
  <si>
    <t xml:space="preserve">سرير كينج ١٢٠ بنفسجى </t>
  </si>
  <si>
    <t>وائل صادق</t>
  </si>
  <si>
    <t xml:space="preserve">سرير كوين مقاس ١٤٠ دهبي ورمادى </t>
  </si>
  <si>
    <t xml:space="preserve">هبه عبد الفتاح </t>
  </si>
  <si>
    <t xml:space="preserve">القاهره الجديده </t>
  </si>
  <si>
    <t xml:space="preserve">كنبه سرير ٤ حركه </t>
  </si>
  <si>
    <t xml:space="preserve">حاتم العيسوي </t>
  </si>
  <si>
    <t>سرير منطبق اسود حديد وقماش</t>
  </si>
  <si>
    <t>صفاء</t>
  </si>
  <si>
    <t>المعادى</t>
  </si>
  <si>
    <t xml:space="preserve">اسراء ابراهيم </t>
  </si>
  <si>
    <t xml:space="preserve">ملغى </t>
  </si>
  <si>
    <t xml:space="preserve">طارق كمال </t>
  </si>
  <si>
    <t xml:space="preserve">سرير ٣ ادوار اسود مقاس ٩٠ </t>
  </si>
  <si>
    <t xml:space="preserve">مصطفي غنيم </t>
  </si>
  <si>
    <t xml:space="preserve">اسيوط </t>
  </si>
  <si>
    <t xml:space="preserve">سرير كيفنج دورين مقاس ١٢٠ رمادى </t>
  </si>
  <si>
    <t xml:space="preserve">مسبق الدفع </t>
  </si>
  <si>
    <t>حسام عبدون</t>
  </si>
  <si>
    <t>الغردقه</t>
  </si>
  <si>
    <t xml:space="preserve">اياد </t>
  </si>
  <si>
    <t>ميار خورشد</t>
  </si>
  <si>
    <t xml:space="preserve">سرير منطبق اسود حديد ومعدن </t>
  </si>
  <si>
    <t xml:space="preserve">عبد الله سيد </t>
  </si>
  <si>
    <t xml:space="preserve">الشيخ زايد ٦ اكتوبر </t>
  </si>
  <si>
    <t xml:space="preserve">سرير اسبانى  ١٤٠ اسود وبيج </t>
  </si>
  <si>
    <t xml:space="preserve">كينج سونا </t>
  </si>
  <si>
    <t xml:space="preserve">تربيزه قهوه مرتفعه برف سحاب </t>
  </si>
  <si>
    <t xml:space="preserve">رامى </t>
  </si>
  <si>
    <t xml:space="preserve">سرير نوفال ١٠٠ رمادى </t>
  </si>
  <si>
    <t xml:space="preserve">احمد خالد </t>
  </si>
  <si>
    <t>الرحاب</t>
  </si>
  <si>
    <t xml:space="preserve"> ٢. سرير فورجينا ابيض مقاس ١٢٠</t>
  </si>
  <si>
    <t>ساره</t>
  </si>
  <si>
    <t xml:space="preserve">   ٢. سرير اسبانى ابيض ١٢٠</t>
  </si>
  <si>
    <t>رحاب</t>
  </si>
  <si>
    <t xml:space="preserve">احمد ايمن </t>
  </si>
  <si>
    <t>العبور</t>
  </si>
  <si>
    <t xml:space="preserve">فؤاد المنسي </t>
  </si>
  <si>
    <t xml:space="preserve">سرير نوفال مقاس ٨٠ ابيض </t>
  </si>
  <si>
    <t xml:space="preserve">ديفد بهجت </t>
  </si>
  <si>
    <t>فيصل الجيزه</t>
  </si>
  <si>
    <t>تربيزه قهوه ٢ رافع</t>
  </si>
  <si>
    <t xml:space="preserve">حسن مغرب </t>
  </si>
  <si>
    <t xml:space="preserve">سرير كيفنج ١٢٠ رمادى </t>
  </si>
  <si>
    <t>صفاء الحكيم</t>
  </si>
  <si>
    <t>العين السخنه</t>
  </si>
  <si>
    <t>سرير منطببق اسود وقماش اسود</t>
  </si>
  <si>
    <t>14/9/224</t>
  </si>
  <si>
    <t>يوسف شناوى</t>
  </si>
  <si>
    <t xml:space="preserve">الابراهيميه . الإسكندرية </t>
  </si>
  <si>
    <t xml:space="preserve">ترابيزه قهوه علويه برف سحاب </t>
  </si>
  <si>
    <t>سرير</t>
  </si>
  <si>
    <t>منطبق</t>
  </si>
  <si>
    <t>نوفال</t>
  </si>
  <si>
    <t>فردى</t>
  </si>
  <si>
    <t>كينج</t>
  </si>
  <si>
    <t>كيفنج</t>
  </si>
  <si>
    <t>اسبانى</t>
  </si>
  <si>
    <t>تربيزه</t>
  </si>
  <si>
    <t>ركنة</t>
  </si>
  <si>
    <t>سحارة</t>
  </si>
  <si>
    <t>ركنة بسرير</t>
  </si>
  <si>
    <t>كنبة</t>
  </si>
  <si>
    <t>كرسى</t>
  </si>
  <si>
    <t>فنسيا</t>
  </si>
  <si>
    <t>4*1</t>
  </si>
  <si>
    <t>دورين</t>
  </si>
  <si>
    <t xml:space="preserve">كنبة </t>
  </si>
  <si>
    <t>ابيض</t>
  </si>
  <si>
    <t>اسود</t>
  </si>
  <si>
    <t>ارفيل</t>
  </si>
  <si>
    <t>ازرق</t>
  </si>
  <si>
    <t>ثلاثه ادوار</t>
  </si>
  <si>
    <t>رمادى</t>
  </si>
  <si>
    <t>بنفسجى</t>
  </si>
  <si>
    <t>الاسم</t>
  </si>
  <si>
    <t>المقاس</t>
  </si>
  <si>
    <t>دهبي</t>
  </si>
  <si>
    <t>فورجينا</t>
  </si>
  <si>
    <t>كورين</t>
  </si>
  <si>
    <t>اللون المعدن</t>
  </si>
  <si>
    <t>لون القماش</t>
  </si>
  <si>
    <t>رقم العملية</t>
  </si>
  <si>
    <t>رقم الطلب</t>
  </si>
  <si>
    <t>mohannad</t>
  </si>
  <si>
    <t>EL-Maadi</t>
  </si>
  <si>
    <t>Mohamed Ayman</t>
  </si>
  <si>
    <t>Madinet Badr</t>
  </si>
  <si>
    <t>2 ميكانزم</t>
  </si>
  <si>
    <t>بمكتبة</t>
  </si>
  <si>
    <t>رف سحاب</t>
  </si>
  <si>
    <t>الحالة</t>
  </si>
  <si>
    <t>نم التسليم</t>
  </si>
  <si>
    <t>فشل التسليم</t>
  </si>
  <si>
    <t>لغى</t>
  </si>
  <si>
    <t>نم التصنيع</t>
  </si>
  <si>
    <t>15/9/2024</t>
  </si>
  <si>
    <t>اسامه</t>
  </si>
  <si>
    <t>16/9/2024</t>
  </si>
  <si>
    <t>تم التسليم</t>
  </si>
  <si>
    <t xml:space="preserve">تم التسليم محمود على </t>
  </si>
  <si>
    <t xml:space="preserve">المخزن ابو الغيط </t>
  </si>
  <si>
    <t>اسود وبنى</t>
  </si>
  <si>
    <t>ولاء بدوى</t>
  </si>
  <si>
    <t>عبد الرحمن يسري</t>
  </si>
  <si>
    <t>اكتوبر الجيزه</t>
  </si>
  <si>
    <t>كنبه</t>
  </si>
  <si>
    <t>4×1</t>
  </si>
  <si>
    <t xml:space="preserve">اسود </t>
  </si>
  <si>
    <t>مرتجع</t>
  </si>
  <si>
    <t>31/9/2024</t>
  </si>
  <si>
    <t>الحج محمد السويس</t>
  </si>
  <si>
    <t xml:space="preserve">السويس </t>
  </si>
  <si>
    <t>السويس</t>
  </si>
  <si>
    <t>فانتاستك</t>
  </si>
  <si>
    <t>ملون</t>
  </si>
  <si>
    <t>فنيسيا</t>
  </si>
  <si>
    <t>رصاصي مشجر</t>
  </si>
  <si>
    <t>اسزد</t>
  </si>
  <si>
    <t>بيج</t>
  </si>
  <si>
    <t>شيزلونج</t>
  </si>
  <si>
    <t xml:space="preserve">نبيتى </t>
  </si>
  <si>
    <t>عمرو الأسود</t>
  </si>
  <si>
    <t>الزمالك</t>
  </si>
  <si>
    <t>لغي</t>
  </si>
  <si>
    <t>مخزن شيك هومز</t>
  </si>
  <si>
    <t xml:space="preserve">كنبه </t>
  </si>
  <si>
    <t xml:space="preserve">بترولى </t>
  </si>
  <si>
    <t xml:space="preserve">تم التسليم بمعرفه الحج سيد </t>
  </si>
  <si>
    <t xml:space="preserve">تم التسليم </t>
  </si>
  <si>
    <t xml:space="preserve">أكتوبر </t>
  </si>
  <si>
    <t>التجمع</t>
  </si>
  <si>
    <t>keira</t>
  </si>
  <si>
    <t xml:space="preserve">نوفال </t>
  </si>
  <si>
    <t>١٤٠/١٠٠</t>
  </si>
  <si>
    <t>بينك</t>
  </si>
  <si>
    <t>tarek</t>
  </si>
  <si>
    <t>لاغى</t>
  </si>
  <si>
    <t>reem</t>
  </si>
  <si>
    <t>البطاش اسكندريه</t>
  </si>
  <si>
    <t>١٠٠/١٤٠</t>
  </si>
  <si>
    <t>هشام سامى</t>
  </si>
  <si>
    <t>s03163</t>
  </si>
  <si>
    <t>41 كومبوند جولدن جستس الدور 4 شقه 4</t>
  </si>
  <si>
    <t xml:space="preserve">منزلى </t>
  </si>
  <si>
    <t>بلحه</t>
  </si>
  <si>
    <t>خشب بنى فاتح</t>
  </si>
  <si>
    <t>فانتستيك</t>
  </si>
  <si>
    <t>الوان</t>
  </si>
  <si>
    <t>المعرض مدينه نصر</t>
  </si>
  <si>
    <t xml:space="preserve">اقرب وقت </t>
  </si>
  <si>
    <t>فاطمه محمد</t>
  </si>
  <si>
    <t>أكتوبر الجيزه</t>
  </si>
  <si>
    <t>الشيخ زايد اكتوبر</t>
  </si>
  <si>
    <t>بولا هومزمارت</t>
  </si>
  <si>
    <t>مسيو هومزمارت</t>
  </si>
  <si>
    <t>4800+300شحن</t>
  </si>
  <si>
    <t>5000+300شحن</t>
  </si>
  <si>
    <t xml:space="preserve">محمد شكرى </t>
  </si>
  <si>
    <t>ارينا</t>
  </si>
  <si>
    <t>بترولى</t>
  </si>
  <si>
    <t>مسبق</t>
  </si>
  <si>
    <t>3/12/204</t>
  </si>
  <si>
    <t>so3290</t>
  </si>
  <si>
    <t>منزلى</t>
  </si>
  <si>
    <t>مدينتى</t>
  </si>
  <si>
    <t>s_6725</t>
  </si>
  <si>
    <t>حماده</t>
  </si>
  <si>
    <t>صفاء عبد الباقي</t>
  </si>
  <si>
    <t xml:space="preserve">كينج </t>
  </si>
  <si>
    <t>s_6806</t>
  </si>
  <si>
    <t xml:space="preserve">سرير </t>
  </si>
  <si>
    <t>s-6626</t>
  </si>
  <si>
    <t>المخزن</t>
  </si>
  <si>
    <t xml:space="preserve">دورين </t>
  </si>
  <si>
    <t xml:space="preserve">مرفوض </t>
  </si>
  <si>
    <t xml:space="preserve">رندا العامرى </t>
  </si>
  <si>
    <t xml:space="preserve">كيمت </t>
  </si>
  <si>
    <t xml:space="preserve">كيفنج </t>
  </si>
  <si>
    <t>٦ اكتوبر الجيزه</t>
  </si>
  <si>
    <t xml:space="preserve">فردى </t>
  </si>
  <si>
    <t>امريكى</t>
  </si>
  <si>
    <t>محمد حمدى</t>
  </si>
  <si>
    <t>فيسبوك</t>
  </si>
  <si>
    <t xml:space="preserve">كوين </t>
  </si>
  <si>
    <t>5700+300شحن</t>
  </si>
  <si>
    <t xml:space="preserve">بافلى هانى </t>
  </si>
  <si>
    <t xml:space="preserve">شبرا </t>
  </si>
  <si>
    <t xml:space="preserve">اسبانى </t>
  </si>
  <si>
    <t>t1</t>
  </si>
  <si>
    <t xml:space="preserve">تم التسليم م محمد </t>
  </si>
  <si>
    <t>رنا ميلاد</t>
  </si>
  <si>
    <t xml:space="preserve">جليم الإسكندرية </t>
  </si>
  <si>
    <t>ترابيزه</t>
  </si>
  <si>
    <t>مكتبه</t>
  </si>
  <si>
    <t>محمد ناجى</t>
  </si>
  <si>
    <t xml:space="preserve">دوران </t>
  </si>
  <si>
    <t>ميكانزم</t>
  </si>
  <si>
    <t>ابيض في بنى غامق</t>
  </si>
  <si>
    <t>احمد عبد الستار</t>
  </si>
  <si>
    <t>المندره اسكندريه</t>
  </si>
  <si>
    <t xml:space="preserve">نور </t>
  </si>
  <si>
    <t xml:space="preserve">ترابيزه </t>
  </si>
  <si>
    <t>بنى غامق</t>
  </si>
  <si>
    <t>نور</t>
  </si>
  <si>
    <t xml:space="preserve">هومزمارت </t>
  </si>
  <si>
    <t xml:space="preserve">بنى غامق </t>
  </si>
  <si>
    <t>تامر</t>
  </si>
  <si>
    <t>٢ ميكانزم</t>
  </si>
  <si>
    <t xml:space="preserve">بيج </t>
  </si>
  <si>
    <t>هناء اسامه</t>
  </si>
  <si>
    <t>القطاميه</t>
  </si>
  <si>
    <t>s_7152</t>
  </si>
  <si>
    <t xml:space="preserve">محمد عادل </t>
  </si>
  <si>
    <t>مريم عنان</t>
  </si>
  <si>
    <t xml:space="preserve">اب تاون كايرو التجمع </t>
  </si>
  <si>
    <t xml:space="preserve">هبه عطيه </t>
  </si>
  <si>
    <t>دوران</t>
  </si>
  <si>
    <t>حمدى ذكرى</t>
  </si>
  <si>
    <t>روك ١٠</t>
  </si>
  <si>
    <t>العميل رفض الاستلام</t>
  </si>
  <si>
    <t>Column1</t>
  </si>
  <si>
    <t>Column2</t>
  </si>
  <si>
    <t>منصة البيع</t>
  </si>
  <si>
    <t>سعر البيع</t>
  </si>
  <si>
    <t>طريقه الدفع</t>
  </si>
  <si>
    <t>1</t>
  </si>
  <si>
    <t>خالد عبد القوى</t>
  </si>
  <si>
    <t>سرير منطبق الحديد ابيض والقماش ابيض</t>
  </si>
  <si>
    <t>10160</t>
  </si>
  <si>
    <t>10/08/2024 00:00:00</t>
  </si>
  <si>
    <t>تم التسليم عن طريق شركه شحن</t>
  </si>
  <si>
    <t>2</t>
  </si>
  <si>
    <t>سرير منطبق اسود والقماش اسود</t>
  </si>
  <si>
    <t>9749</t>
  </si>
  <si>
    <t>11/08/2024 00:00:00</t>
  </si>
  <si>
    <t>3</t>
  </si>
  <si>
    <t>سيدى عبد الرحمن - الساحل الشمالى</t>
  </si>
  <si>
    <t>90</t>
  </si>
  <si>
    <t>سرير كيفينج مقاس 90 لون ازرق</t>
  </si>
  <si>
    <t>11455</t>
  </si>
  <si>
    <t>10067.68</t>
  </si>
  <si>
    <t>4</t>
  </si>
  <si>
    <t>ترابيزه قهوه متحركه</t>
  </si>
  <si>
    <t>8642</t>
  </si>
  <si>
    <t>07/09/2024 00:00:00</t>
  </si>
  <si>
    <t>27/08/2024 00:00:00</t>
  </si>
  <si>
    <t>5</t>
  </si>
  <si>
    <t>زينا</t>
  </si>
  <si>
    <t>100</t>
  </si>
  <si>
    <t>سرير نوفال متر رمادى</t>
  </si>
  <si>
    <t>12833</t>
  </si>
  <si>
    <t>12974.22</t>
  </si>
  <si>
    <t>31/08/2024 00:00:00</t>
  </si>
  <si>
    <t>6</t>
  </si>
  <si>
    <t>كنبه سرير رمادى</t>
  </si>
  <si>
    <t>14550</t>
  </si>
  <si>
    <t>03/09/2024 00:00:00</t>
  </si>
  <si>
    <t>05/09/2024 00:00:00</t>
  </si>
  <si>
    <t>7</t>
  </si>
  <si>
    <t>احمد</t>
  </si>
  <si>
    <t>12000</t>
  </si>
  <si>
    <t>20/08/2024 00:00:00</t>
  </si>
  <si>
    <t>19/08/2024 00:00:00</t>
  </si>
  <si>
    <t>تم تسليم العميل عن طريق شركه شحن</t>
  </si>
  <si>
    <t>8</t>
  </si>
  <si>
    <t>سرير فردى ابيض</t>
  </si>
  <si>
    <t>7228</t>
  </si>
  <si>
    <t>10/09/2024 00:00:00</t>
  </si>
  <si>
    <t>9</t>
  </si>
  <si>
    <t>ركنه</t>
  </si>
  <si>
    <t>22000</t>
  </si>
  <si>
    <t>01/09/2024 00:00:00</t>
  </si>
  <si>
    <t>17/09/2024 00:00:00</t>
  </si>
  <si>
    <t>10</t>
  </si>
  <si>
    <t>16000</t>
  </si>
  <si>
    <t>ملغى</t>
  </si>
  <si>
    <t>11</t>
  </si>
  <si>
    <t>٢ كنبه سحاره بدون مخدع</t>
  </si>
  <si>
    <t>6000</t>
  </si>
  <si>
    <t>15/09/2024 00:00:00</t>
  </si>
  <si>
    <t>تم التسليم محمود على</t>
  </si>
  <si>
    <t>12</t>
  </si>
  <si>
    <t>13</t>
  </si>
  <si>
    <t>على رشوان</t>
  </si>
  <si>
    <t>80</t>
  </si>
  <si>
    <t>10499</t>
  </si>
  <si>
    <t>8924</t>
  </si>
  <si>
    <t>16/09/2024 00:00:00</t>
  </si>
  <si>
    <t>08/09/2024 00:00:00</t>
  </si>
  <si>
    <t>14</t>
  </si>
  <si>
    <t>1404561</t>
  </si>
  <si>
    <t>1199284</t>
  </si>
  <si>
    <t>احمد فخرى</t>
  </si>
  <si>
    <t>7295</t>
  </si>
  <si>
    <t>5895</t>
  </si>
  <si>
    <t>14/09/2024 00:00:00</t>
  </si>
  <si>
    <t>15</t>
  </si>
  <si>
    <t>1401137</t>
  </si>
  <si>
    <t>1197500</t>
  </si>
  <si>
    <t>لينا</t>
  </si>
  <si>
    <t>المقطم</t>
  </si>
  <si>
    <t>ترابيزه قهوه علويه جديده</t>
  </si>
  <si>
    <t>7849</t>
  </si>
  <si>
    <t>25/09/2024 00:00:00</t>
  </si>
  <si>
    <t>16</t>
  </si>
  <si>
    <t>فيصل نعيم</t>
  </si>
  <si>
    <t>اوسكار ريتن</t>
  </si>
  <si>
    <t>120</t>
  </si>
  <si>
    <t>٢ سرير كيفنج ١٢٠ اسود</t>
  </si>
  <si>
    <t>6180</t>
  </si>
  <si>
    <t>9700</t>
  </si>
  <si>
    <t>17</t>
  </si>
  <si>
    <t>18</t>
  </si>
  <si>
    <t>1400149</t>
  </si>
  <si>
    <t>1196947</t>
  </si>
  <si>
    <t>مدينه نصر</t>
  </si>
  <si>
    <t>سرير كينج ابيض مقاس ٨٠ التصميم الجديد</t>
  </si>
  <si>
    <t>11199</t>
  </si>
  <si>
    <t>11310</t>
  </si>
  <si>
    <t>18/09/2024 00:00:00</t>
  </si>
  <si>
    <t>19</t>
  </si>
  <si>
    <t>1408099</t>
  </si>
  <si>
    <t>1201057</t>
  </si>
  <si>
    <t>7987</t>
  </si>
  <si>
    <t>21/09/2024 00:00:00</t>
  </si>
  <si>
    <t>20</t>
  </si>
  <si>
    <t>٢ فوتيه فنيسيا</t>
  </si>
  <si>
    <t>9300</t>
  </si>
  <si>
    <t>21</t>
  </si>
  <si>
    <t>1408098</t>
  </si>
  <si>
    <t>22</t>
  </si>
  <si>
    <t>1408100</t>
  </si>
  <si>
    <t>23</t>
  </si>
  <si>
    <t>1408101</t>
  </si>
  <si>
    <t>24</t>
  </si>
  <si>
    <t>1513856</t>
  </si>
  <si>
    <t>1231946</t>
  </si>
  <si>
    <t>8849</t>
  </si>
  <si>
    <t>16/10/2024 00:00:00</t>
  </si>
  <si>
    <t>25</t>
  </si>
  <si>
    <t>1411691</t>
  </si>
  <si>
    <t>1202775</t>
  </si>
  <si>
    <t>10987</t>
  </si>
  <si>
    <t>26</t>
  </si>
  <si>
    <t>سرير كينج ابيض</t>
  </si>
  <si>
    <t>9208</t>
  </si>
  <si>
    <t>5781.75</t>
  </si>
  <si>
    <t>19/09/2024 00:00:00</t>
  </si>
  <si>
    <t>27</t>
  </si>
  <si>
    <t>سرير كينج اسود</t>
  </si>
  <si>
    <t>1278.53</t>
  </si>
  <si>
    <t>28</t>
  </si>
  <si>
    <t>مخزن اوسكار في القناطر</t>
  </si>
  <si>
    <t>4020</t>
  </si>
  <si>
    <t>22/09/2024 00:00:00</t>
  </si>
  <si>
    <t>29</t>
  </si>
  <si>
    <t>30</t>
  </si>
  <si>
    <t>٢ سرير ارفيل ١٢٠ اسود</t>
  </si>
  <si>
    <t>31</t>
  </si>
  <si>
    <t>33</t>
  </si>
  <si>
    <t>1536687</t>
  </si>
  <si>
    <t>1237682</t>
  </si>
  <si>
    <t>الابراهيميه . الإسكندرية</t>
  </si>
  <si>
    <t>ترابيزه قهوه علويه برف سحاب</t>
  </si>
  <si>
    <t>8349</t>
  </si>
  <si>
    <t>24/09/2024 00:00:00</t>
  </si>
  <si>
    <t>35</t>
  </si>
  <si>
    <t>1422998</t>
  </si>
  <si>
    <t>1207350</t>
  </si>
  <si>
    <t>رنا</t>
  </si>
  <si>
    <t>7928</t>
  </si>
  <si>
    <t>26/09/2024 00:00:00</t>
  </si>
  <si>
    <t>36</t>
  </si>
  <si>
    <t>١٨ شارع البحيري بولاق الدكرور الجيزه</t>
  </si>
  <si>
    <t>سرير ٣ ادورا اسود مقاس ١٠٠</t>
  </si>
  <si>
    <t>9450</t>
  </si>
  <si>
    <t>37</t>
  </si>
  <si>
    <t>1459790</t>
  </si>
  <si>
    <t>1218257</t>
  </si>
  <si>
    <t>اسراء ابو العنين</t>
  </si>
  <si>
    <t>7460</t>
  </si>
  <si>
    <t>03/10/2024 00:00:00</t>
  </si>
  <si>
    <t>39</t>
  </si>
  <si>
    <t>1504407</t>
  </si>
  <si>
    <t>1229760</t>
  </si>
  <si>
    <t>حسن مغرب</t>
  </si>
  <si>
    <t>سرير كيفنج ١٢٠ رمادى</t>
  </si>
  <si>
    <t>12999</t>
  </si>
  <si>
    <t>27/09/2024 00:00:00</t>
  </si>
  <si>
    <t>02/10/2024 00:00:00</t>
  </si>
  <si>
    <t>40</t>
  </si>
  <si>
    <t>1423361</t>
  </si>
  <si>
    <t>1207484</t>
  </si>
  <si>
    <t>على السيد</t>
  </si>
  <si>
    <t>الشروق القاهره</t>
  </si>
  <si>
    <t>سرير نوفال  ٩٠ اسود</t>
  </si>
  <si>
    <t>5999</t>
  </si>
  <si>
    <t>29/09/2024 00:00:00</t>
  </si>
  <si>
    <t>41</t>
  </si>
  <si>
    <t>1415725</t>
  </si>
  <si>
    <t>1204732</t>
  </si>
  <si>
    <t>هشام بسيونى</t>
  </si>
  <si>
    <t>حدايق الاهرام</t>
  </si>
  <si>
    <t xml:space="preserve">            ٢ سرير كيفنج ١٠٠ اسود</t>
  </si>
  <si>
    <t>11949</t>
  </si>
  <si>
    <t>10749</t>
  </si>
  <si>
    <t>42</t>
  </si>
  <si>
    <t>1415726</t>
  </si>
  <si>
    <t>43</t>
  </si>
  <si>
    <t>1499397</t>
  </si>
  <si>
    <t>1228586</t>
  </si>
  <si>
    <t>سرير ٣ ادوار ابيض مقاس ٨٠ ابيض</t>
  </si>
  <si>
    <t>16599</t>
  </si>
  <si>
    <t>30/09/2024 00:00:00</t>
  </si>
  <si>
    <t>44</t>
  </si>
  <si>
    <t>1458696</t>
  </si>
  <si>
    <t>1217982</t>
  </si>
  <si>
    <t>ساره وجيه</t>
  </si>
  <si>
    <t>سرير كيفنج دورين مقاس ٨٠ ابيض</t>
  </si>
  <si>
    <t>10999</t>
  </si>
  <si>
    <t>45</t>
  </si>
  <si>
    <t>1480814</t>
  </si>
  <si>
    <t>1223964</t>
  </si>
  <si>
    <t>مها</t>
  </si>
  <si>
    <t>لافيستا العين السخنه</t>
  </si>
  <si>
    <t>140</t>
  </si>
  <si>
    <t>13099</t>
  </si>
  <si>
    <t>46</t>
  </si>
  <si>
    <t>1492471</t>
  </si>
  <si>
    <t>1227052</t>
  </si>
  <si>
    <t>بسام الشربينى</t>
  </si>
  <si>
    <t>سرير كينج ١٢٠ بنفسجى</t>
  </si>
  <si>
    <t>13849</t>
  </si>
  <si>
    <t>20/10/2024 00:00:00</t>
  </si>
  <si>
    <t>48</t>
  </si>
  <si>
    <t>1525747</t>
  </si>
  <si>
    <t>1234936</t>
  </si>
  <si>
    <t>اسراء ابراهيم</t>
  </si>
  <si>
    <t>15/10/2024 00:00:00</t>
  </si>
  <si>
    <t>49</t>
  </si>
  <si>
    <t>1536313</t>
  </si>
  <si>
    <t>1237601</t>
  </si>
  <si>
    <t>طارق كمال</t>
  </si>
  <si>
    <t>سرير ٣ ادوار اسود مقاس ٩٠</t>
  </si>
  <si>
    <t>17249</t>
  </si>
  <si>
    <t>04/10/2024 00:00:00</t>
  </si>
  <si>
    <t>50</t>
  </si>
  <si>
    <t>1505609</t>
  </si>
  <si>
    <t>1230031</t>
  </si>
  <si>
    <t>ديفد بهجت</t>
  </si>
  <si>
    <t>21/10/2024 00:00:00</t>
  </si>
  <si>
    <t>51</t>
  </si>
  <si>
    <t>1612229</t>
  </si>
  <si>
    <t>1254076</t>
  </si>
  <si>
    <t>اياد</t>
  </si>
  <si>
    <t>29/10/2024 00:00:00</t>
  </si>
  <si>
    <t>30/10/2024 00:00:00</t>
  </si>
  <si>
    <t>53</t>
  </si>
  <si>
    <t>1667352</t>
  </si>
  <si>
    <t>1267819</t>
  </si>
  <si>
    <t>عبد الله سيد</t>
  </si>
  <si>
    <t>الشيخ زايد ٦ اكتوبر</t>
  </si>
  <si>
    <t>سرير اسبانى  ١٤٠ اسود وبيج</t>
  </si>
  <si>
    <t>11817</t>
  </si>
  <si>
    <t>54</t>
  </si>
  <si>
    <t>1649781</t>
  </si>
  <si>
    <t>1263160</t>
  </si>
  <si>
    <t>كينج سونا</t>
  </si>
  <si>
    <t>تربيزه قهوه مرتفعه برف سحاب</t>
  </si>
  <si>
    <t>19/10/2024 00:00:00</t>
  </si>
  <si>
    <t>55</t>
  </si>
  <si>
    <t>1681476</t>
  </si>
  <si>
    <t>1271813</t>
  </si>
  <si>
    <t>احمد خالد</t>
  </si>
  <si>
    <t>17886</t>
  </si>
  <si>
    <t>56</t>
  </si>
  <si>
    <t>1681477</t>
  </si>
  <si>
    <t>57</t>
  </si>
  <si>
    <t>1677530</t>
  </si>
  <si>
    <t>1270704</t>
  </si>
  <si>
    <t>13/10/2024 00:00:00</t>
  </si>
  <si>
    <t>58</t>
  </si>
  <si>
    <t>1677528</t>
  </si>
  <si>
    <t>59</t>
  </si>
  <si>
    <t>1657744</t>
  </si>
  <si>
    <t>1265268</t>
  </si>
  <si>
    <t>احمد ايمن</t>
  </si>
  <si>
    <t>10319</t>
  </si>
  <si>
    <t>60</t>
  </si>
  <si>
    <t>1610613</t>
  </si>
  <si>
    <t>1253646</t>
  </si>
  <si>
    <t>مصطفي غنيم</t>
  </si>
  <si>
    <t>اسيوط</t>
  </si>
  <si>
    <t>سرير كيفنج دورين مقاس ١٢٠ رمادى</t>
  </si>
  <si>
    <t>20/11/2024 00:00:00</t>
  </si>
  <si>
    <t>17/10/2024 00:00:00</t>
  </si>
  <si>
    <t>62</t>
  </si>
  <si>
    <t>1654554</t>
  </si>
  <si>
    <t>1264469</t>
  </si>
  <si>
    <t>رامى</t>
  </si>
  <si>
    <t>سرير نوفال ١٠٠ رمادى</t>
  </si>
  <si>
    <t>12399</t>
  </si>
  <si>
    <t>01/10/2024 00:00:00</t>
  </si>
  <si>
    <t>64</t>
  </si>
  <si>
    <t>1655447</t>
  </si>
  <si>
    <t>1264684</t>
  </si>
  <si>
    <t>فؤاد المنسي</t>
  </si>
  <si>
    <t>سرير نوفال مقاس ٨٠ ابيض</t>
  </si>
  <si>
    <t>65</t>
  </si>
  <si>
    <t>1679731</t>
  </si>
  <si>
    <t>1271291</t>
  </si>
  <si>
    <t>66</t>
  </si>
  <si>
    <t>1679739</t>
  </si>
  <si>
    <t>68</t>
  </si>
  <si>
    <t>1416625</t>
  </si>
  <si>
    <t>1205197</t>
  </si>
  <si>
    <t>6306</t>
  </si>
  <si>
    <t>14/11/2024 00:00:00</t>
  </si>
  <si>
    <t>69</t>
  </si>
  <si>
    <t>المخزن ابو الغيط</t>
  </si>
  <si>
    <t>5074</t>
  </si>
  <si>
    <t>05/10/2024 00:00:00</t>
  </si>
  <si>
    <t>12/10/2024 00:00:00</t>
  </si>
  <si>
    <t>70</t>
  </si>
  <si>
    <t>2514</t>
  </si>
  <si>
    <t>6250</t>
  </si>
  <si>
    <t>08/10/2024 00:00:00</t>
  </si>
  <si>
    <t>71</t>
  </si>
  <si>
    <t>72</t>
  </si>
  <si>
    <t>1706794</t>
  </si>
  <si>
    <t>1281428</t>
  </si>
  <si>
    <t>8943</t>
  </si>
  <si>
    <t>9033</t>
  </si>
  <si>
    <t>10/11/2024 00:00:00</t>
  </si>
  <si>
    <t>10/10/2024 00:00:00</t>
  </si>
  <si>
    <t>73</t>
  </si>
  <si>
    <t>1704621</t>
  </si>
  <si>
    <t>1280197</t>
  </si>
  <si>
    <t>8433</t>
  </si>
  <si>
    <t>75</t>
  </si>
  <si>
    <t>240077789</t>
  </si>
  <si>
    <t>9608</t>
  </si>
  <si>
    <t>14/10/2024 00:00:00</t>
  </si>
  <si>
    <t>76</t>
  </si>
  <si>
    <t>240078390</t>
  </si>
  <si>
    <t>7433</t>
  </si>
  <si>
    <t>77</t>
  </si>
  <si>
    <t>78</t>
  </si>
  <si>
    <t>8544.90544</t>
  </si>
  <si>
    <t>09/10/2024 00:00:00</t>
  </si>
  <si>
    <t>تم التسليم بمعرفه الحج سيد</t>
  </si>
  <si>
    <t>86</t>
  </si>
  <si>
    <t>1714623</t>
  </si>
  <si>
    <t>1284697</t>
  </si>
  <si>
    <t>12899</t>
  </si>
  <si>
    <t>13028</t>
  </si>
  <si>
    <t>17/12/2024 00:00:00</t>
  </si>
  <si>
    <t>02/11/2024 00:00:00</t>
  </si>
  <si>
    <t>87</t>
  </si>
  <si>
    <t>1715473</t>
  </si>
  <si>
    <t>1285152</t>
  </si>
  <si>
    <t>19/12/2024 00:00:00</t>
  </si>
  <si>
    <t>89</t>
  </si>
  <si>
    <t>1715992</t>
  </si>
  <si>
    <t>1285423</t>
  </si>
  <si>
    <t>22/12/2024 00:00:00</t>
  </si>
  <si>
    <t>03/12/2024 00:00:00</t>
  </si>
  <si>
    <t>91</t>
  </si>
  <si>
    <t>240080607</t>
  </si>
  <si>
    <t>12777.5</t>
  </si>
  <si>
    <t>11277.5</t>
  </si>
  <si>
    <t>12/11/2024 00:00:00</t>
  </si>
  <si>
    <t>18/11/2024 00:00:00</t>
  </si>
  <si>
    <t>92</t>
  </si>
  <si>
    <t>93</t>
  </si>
  <si>
    <t>8544.91</t>
  </si>
  <si>
    <t>اقرب وقت</t>
  </si>
  <si>
    <t>مرفوض</t>
  </si>
  <si>
    <t>94</t>
  </si>
  <si>
    <t>1717458</t>
  </si>
  <si>
    <t>1286189</t>
  </si>
  <si>
    <t>9007.01</t>
  </si>
  <si>
    <t>95</t>
  </si>
  <si>
    <t>240080858</t>
  </si>
  <si>
    <t>15516</t>
  </si>
  <si>
    <t>96</t>
  </si>
  <si>
    <t>240081061</t>
  </si>
  <si>
    <t>10045</t>
  </si>
  <si>
    <t>8879</t>
  </si>
  <si>
    <t>16/11/2024 00:00:00</t>
  </si>
  <si>
    <t>97</t>
  </si>
  <si>
    <t>1718948</t>
  </si>
  <si>
    <t>1286883</t>
  </si>
  <si>
    <t>11649</t>
  </si>
  <si>
    <t>11749</t>
  </si>
  <si>
    <t>98</t>
  </si>
  <si>
    <t>1718949</t>
  </si>
  <si>
    <t>99</t>
  </si>
  <si>
    <t>4800</t>
  </si>
  <si>
    <t>11/11/2024 00:00:00</t>
  </si>
  <si>
    <t>21/11/2024 00:00:00</t>
  </si>
  <si>
    <t>101</t>
  </si>
  <si>
    <t>1744766</t>
  </si>
  <si>
    <t>1298738</t>
  </si>
  <si>
    <t>محمد شكرى</t>
  </si>
  <si>
    <t>12099</t>
  </si>
  <si>
    <t>26/11/2024 00:00:00</t>
  </si>
  <si>
    <t>27/11/2024 00:00:00</t>
  </si>
  <si>
    <t>103</t>
  </si>
  <si>
    <t>4520</t>
  </si>
  <si>
    <t>22/11/2024 00:00:00</t>
  </si>
  <si>
    <t>104</t>
  </si>
  <si>
    <t>5766</t>
  </si>
  <si>
    <t>25/11/2024 00:00:00</t>
  </si>
  <si>
    <t>105</t>
  </si>
  <si>
    <t>1752544</t>
  </si>
  <si>
    <t>1302011</t>
  </si>
  <si>
    <t>160</t>
  </si>
  <si>
    <t>11395</t>
  </si>
  <si>
    <t>24/11/2024 00:00:00</t>
  </si>
  <si>
    <t>106</t>
  </si>
  <si>
    <t>1755075</t>
  </si>
  <si>
    <t>1303159</t>
  </si>
  <si>
    <t>12919</t>
  </si>
  <si>
    <t>30/11/2024 00:00:00</t>
  </si>
  <si>
    <t>107</t>
  </si>
  <si>
    <t>6376</t>
  </si>
  <si>
    <t>108</t>
  </si>
  <si>
    <t>5294</t>
  </si>
  <si>
    <t>109</t>
  </si>
  <si>
    <t>265453625</t>
  </si>
  <si>
    <t>رندا العامرى</t>
  </si>
  <si>
    <t>1277038843</t>
  </si>
  <si>
    <t>كيمت</t>
  </si>
  <si>
    <t>7396</t>
  </si>
  <si>
    <t>28/11/2024 00:00:00</t>
  </si>
  <si>
    <t>110</t>
  </si>
  <si>
    <t>1762617</t>
  </si>
  <si>
    <t>1306879</t>
  </si>
  <si>
    <t>13439</t>
  </si>
  <si>
    <t>13575</t>
  </si>
  <si>
    <t>05/12/2024 00:00:00</t>
  </si>
  <si>
    <t>111</t>
  </si>
  <si>
    <t>5100</t>
  </si>
  <si>
    <t>08/12/2024 00:00:00</t>
  </si>
  <si>
    <t>113</t>
  </si>
  <si>
    <t>1765451</t>
  </si>
  <si>
    <t>1308241</t>
  </si>
  <si>
    <t>بافلى هانى</t>
  </si>
  <si>
    <t>شبرا</t>
  </si>
  <si>
    <t>10885</t>
  </si>
  <si>
    <t>7965</t>
  </si>
  <si>
    <t>10/12/2024 00:00:00</t>
  </si>
  <si>
    <t>114</t>
  </si>
  <si>
    <t>تم التسليم م محمد</t>
  </si>
  <si>
    <t>115</t>
  </si>
  <si>
    <t>1782674</t>
  </si>
  <si>
    <t>1315860</t>
  </si>
  <si>
    <t>جليم الإسكندرية</t>
  </si>
  <si>
    <t>8449</t>
  </si>
  <si>
    <t>23/12/2024 00:00:00</t>
  </si>
  <si>
    <t>117</t>
  </si>
  <si>
    <t>1795447</t>
  </si>
  <si>
    <t>1321584</t>
  </si>
  <si>
    <t>14905</t>
  </si>
  <si>
    <t>15/12/2024 00:00:00</t>
  </si>
  <si>
    <t>121</t>
  </si>
  <si>
    <t>1813823</t>
  </si>
  <si>
    <t>1329646</t>
  </si>
  <si>
    <t>122</t>
  </si>
  <si>
    <t>5217</t>
  </si>
  <si>
    <t>14/12/2024 00:00:00</t>
  </si>
  <si>
    <t>124</t>
  </si>
  <si>
    <t>240085463</t>
  </si>
  <si>
    <t>اب تاون كايرو التجمع</t>
  </si>
  <si>
    <t>10445</t>
  </si>
  <si>
    <t>7707</t>
  </si>
  <si>
    <t>31/12/2024 00:00:00</t>
  </si>
  <si>
    <t>12/12/2024 00:00:00</t>
  </si>
  <si>
    <t>126</t>
  </si>
  <si>
    <t>1818396</t>
  </si>
  <si>
    <t>1332179</t>
  </si>
  <si>
    <t>13231</t>
  </si>
  <si>
    <t>28/12/2024 00:00:00</t>
  </si>
  <si>
    <t>29/12/2024 00:00:00</t>
  </si>
  <si>
    <t>32</t>
  </si>
  <si>
    <t>1509211</t>
  </si>
  <si>
    <t>1230837</t>
  </si>
  <si>
    <t>9399</t>
  </si>
  <si>
    <t>34</t>
  </si>
  <si>
    <t>1520537</t>
  </si>
  <si>
    <t>1233624</t>
  </si>
  <si>
    <t>حاتم العيسوي</t>
  </si>
  <si>
    <t>38</t>
  </si>
  <si>
    <t>1455486</t>
  </si>
  <si>
    <t>1217163</t>
  </si>
  <si>
    <t>سرير كوين مقاس ١٤٠ دهبي ورمادى</t>
  </si>
  <si>
    <t>9528</t>
  </si>
  <si>
    <t>47</t>
  </si>
  <si>
    <t>1507912</t>
  </si>
  <si>
    <t>1230527</t>
  </si>
  <si>
    <t>هبه عبد الفتاح</t>
  </si>
  <si>
    <t>كنبه سرير ٤ حركه</t>
  </si>
  <si>
    <t>21999</t>
  </si>
  <si>
    <t>52</t>
  </si>
  <si>
    <t>1673771</t>
  </si>
  <si>
    <t>1269559</t>
  </si>
  <si>
    <t>سرير منطبق اسود حديد ومعدن</t>
  </si>
  <si>
    <t>61</t>
  </si>
  <si>
    <t>1608468</t>
  </si>
  <si>
    <t>1253172</t>
  </si>
  <si>
    <t>63</t>
  </si>
  <si>
    <t>1644504</t>
  </si>
  <si>
    <t>1261644</t>
  </si>
  <si>
    <t>67</t>
  </si>
  <si>
    <t>1670668</t>
  </si>
  <si>
    <t>1268695</t>
  </si>
  <si>
    <t>74</t>
  </si>
  <si>
    <t>240078066</t>
  </si>
  <si>
    <t>نبيتى</t>
  </si>
  <si>
    <t>14950</t>
  </si>
  <si>
    <t>79</t>
  </si>
  <si>
    <t>4600</t>
  </si>
  <si>
    <t>10000</t>
  </si>
  <si>
    <t>81</t>
  </si>
  <si>
    <t>82</t>
  </si>
  <si>
    <t>1282228</t>
  </si>
  <si>
    <t>1708226</t>
  </si>
  <si>
    <t>8899</t>
  </si>
  <si>
    <t>8988</t>
  </si>
  <si>
    <t>17/11/2024 00:00:00</t>
  </si>
  <si>
    <t>83</t>
  </si>
  <si>
    <t>240079328</t>
  </si>
  <si>
    <t>84</t>
  </si>
  <si>
    <t>240078933</t>
  </si>
  <si>
    <t>أكتوبر</t>
  </si>
  <si>
    <t>85</t>
  </si>
  <si>
    <t>240079517</t>
  </si>
  <si>
    <t>11495</t>
  </si>
  <si>
    <t>31/10/2024 00:00:00</t>
  </si>
  <si>
    <t>1211691428</t>
  </si>
  <si>
    <t>5135</t>
  </si>
  <si>
    <t>102</t>
  </si>
  <si>
    <t>240082226</t>
  </si>
  <si>
    <t>15872</t>
  </si>
  <si>
    <t>3/12/2024</t>
  </si>
  <si>
    <t>112</t>
  </si>
  <si>
    <t>كوين</t>
  </si>
  <si>
    <t>5800</t>
  </si>
  <si>
    <t>02/12/2024 00:00:00</t>
  </si>
  <si>
    <t>116</t>
  </si>
  <si>
    <t>1781530</t>
  </si>
  <si>
    <t>1315450</t>
  </si>
  <si>
    <t>10249</t>
  </si>
  <si>
    <t>6211</t>
  </si>
  <si>
    <t>118</t>
  </si>
  <si>
    <t>1808440</t>
  </si>
  <si>
    <t>1327172</t>
  </si>
  <si>
    <t>119</t>
  </si>
  <si>
    <t>1808441</t>
  </si>
  <si>
    <t>9029</t>
  </si>
  <si>
    <t>1805052</t>
  </si>
  <si>
    <t>1325637</t>
  </si>
  <si>
    <t>123</t>
  </si>
  <si>
    <t>1810950</t>
  </si>
  <si>
    <t>1328141</t>
  </si>
  <si>
    <t>محمد عادل</t>
  </si>
  <si>
    <t>125</t>
  </si>
  <si>
    <t>1818591</t>
  </si>
  <si>
    <t>1332300</t>
  </si>
  <si>
    <t>هبه عطيه</t>
  </si>
  <si>
    <t>11257</t>
  </si>
  <si>
    <t>24/12/2024 00:00:00</t>
  </si>
  <si>
    <t>127</t>
  </si>
  <si>
    <t>240085758</t>
  </si>
  <si>
    <t>8700</t>
  </si>
  <si>
    <t>05/01/2025 00:00:00</t>
  </si>
  <si>
    <t>Subtraction</t>
  </si>
  <si>
    <t xml:space="preserve"> شركه شحن</t>
  </si>
  <si>
    <t>ملغي</t>
  </si>
  <si>
    <t xml:space="preserve"> محمود على</t>
  </si>
  <si>
    <t xml:space="preserve"> بمعرفه الحج سيد</t>
  </si>
  <si>
    <t xml:space="preserve"> م محمد</t>
  </si>
  <si>
    <t>النوع</t>
  </si>
  <si>
    <t>اللون</t>
  </si>
  <si>
    <t>الكمية</t>
  </si>
  <si>
    <t>كاش</t>
  </si>
  <si>
    <t>نوع العميل</t>
  </si>
  <si>
    <t>حساب أفراد</t>
  </si>
  <si>
    <t>المحافظة</t>
  </si>
  <si>
    <t>الجيزة</t>
  </si>
  <si>
    <t>الإسكندرية</t>
  </si>
  <si>
    <t>مطروح</t>
  </si>
  <si>
    <t>البحر الأحمر</t>
  </si>
  <si>
    <t>القاهرة</t>
  </si>
  <si>
    <t>القليوبية</t>
  </si>
  <si>
    <t>أسيوط</t>
  </si>
  <si>
    <t xml:space="preserve">غير محدد </t>
  </si>
  <si>
    <t>ID</t>
  </si>
  <si>
    <t>المواصفات</t>
  </si>
  <si>
    <t>غير محدد</t>
  </si>
  <si>
    <t>حساب شركات</t>
  </si>
  <si>
    <t>سرير دورين ابيض 80</t>
  </si>
  <si>
    <t>ترابيزه 2 ميكانزم</t>
  </si>
  <si>
    <t>سرير دورين اسود وبنى 100</t>
  </si>
  <si>
    <t>سرير فردى ابيض 120</t>
  </si>
  <si>
    <t>ترابيزه رف سحاب</t>
  </si>
  <si>
    <t>سرير دورين اسود 100</t>
  </si>
  <si>
    <t>سرير دورين ملون 100</t>
  </si>
  <si>
    <t>سرير دورين بينك 140</t>
  </si>
  <si>
    <t>سرير دورين الوان 100</t>
  </si>
  <si>
    <t>كنبة 4*1 اسود 120</t>
  </si>
  <si>
    <t>سرير دورين اسود 90</t>
  </si>
  <si>
    <t>سرير فردى ابيض 100</t>
  </si>
  <si>
    <t>سرير فردى بنفسجى 160</t>
  </si>
  <si>
    <t>سرير دورين رمادى 120</t>
  </si>
  <si>
    <t>سرير فردى اسود 160</t>
  </si>
  <si>
    <t>سرير فردى رمادى 120</t>
  </si>
  <si>
    <t>كنبة t1</t>
  </si>
  <si>
    <t>سرير دورين ازرق 90</t>
  </si>
  <si>
    <t>سرير دورين اسود</t>
  </si>
  <si>
    <t>سرير دورين اسود 80</t>
  </si>
  <si>
    <t>كنبة 4*1 120</t>
  </si>
  <si>
    <t>سرير منطبق اسزد</t>
  </si>
  <si>
    <t>كنبة فنيسيا اسود</t>
  </si>
  <si>
    <t>شيزلونج اسود</t>
  </si>
  <si>
    <t>سرير منطبق اسود</t>
  </si>
  <si>
    <t>سرير فردى نبيتى 140</t>
  </si>
  <si>
    <t>سرير فردى دهبي 160</t>
  </si>
  <si>
    <t>ترابيزه دورين ابيض</t>
  </si>
  <si>
    <t>ترابيزه دورين اسود</t>
  </si>
  <si>
    <t>ترابيزه رف سحاب اسود</t>
  </si>
  <si>
    <t>ترابيزه ٢ ميكانزم اسود</t>
  </si>
  <si>
    <t>Delivery Performance</t>
  </si>
  <si>
    <t>On Time</t>
  </si>
  <si>
    <t>Cancelled</t>
  </si>
  <si>
    <t>Late</t>
  </si>
  <si>
    <t>Sum of الكمية</t>
  </si>
  <si>
    <t>Total Sales</t>
  </si>
  <si>
    <t>Row Labels</t>
  </si>
  <si>
    <t>Grand Total</t>
  </si>
  <si>
    <t>Count of الحالة</t>
  </si>
  <si>
    <t>Total Delivered Sales</t>
  </si>
  <si>
    <t>Average Sales</t>
  </si>
  <si>
    <t>On-Time Delivery Rate</t>
  </si>
  <si>
    <t>Count of Delivery Performance</t>
  </si>
  <si>
    <t>Cards</t>
  </si>
  <si>
    <t>Aug</t>
  </si>
  <si>
    <t>Sep</t>
  </si>
  <si>
    <t>Oct</t>
  </si>
  <si>
    <t>Nov</t>
  </si>
  <si>
    <t>Dec</t>
  </si>
  <si>
    <t>Jul</t>
  </si>
  <si>
    <t>Column Labels</t>
  </si>
  <si>
    <t>Monthly Trend of On-Time Delivered Orders</t>
  </si>
  <si>
    <t>Sum of سعر البيع</t>
  </si>
  <si>
    <t>Total customers</t>
  </si>
  <si>
    <t>Button</t>
  </si>
  <si>
    <t>Count of ID</t>
  </si>
  <si>
    <t>Delivery Analysis</t>
  </si>
  <si>
    <t>Total Orders</t>
  </si>
  <si>
    <t>Distribution of on-time, late, and cancelled deliveries</t>
  </si>
  <si>
    <t>1 = HIGH</t>
  </si>
  <si>
    <t>2 = Low</t>
  </si>
  <si>
    <t>Count of نوع العميل</t>
  </si>
  <si>
    <t>Total Customers</t>
  </si>
  <si>
    <t>Total sales by Prouct</t>
  </si>
  <si>
    <t>Top 5 Sales by color</t>
  </si>
  <si>
    <t>Total Sales by Platform</t>
  </si>
  <si>
    <t>Total sales &amp; orders by area</t>
  </si>
  <si>
    <t>TOP-5 profitable and lowest  customers</t>
  </si>
  <si>
    <t>individual customer</t>
  </si>
  <si>
    <t>Company</t>
  </si>
  <si>
    <t>Selection</t>
  </si>
  <si>
    <t>3 = orders</t>
  </si>
  <si>
    <t>4 = sales</t>
  </si>
  <si>
    <t>5 = product</t>
  </si>
  <si>
    <t>6 = color</t>
  </si>
  <si>
    <t>Order Delivery Status (%)</t>
  </si>
  <si>
    <t>Unique Products Sold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</si>
</sst>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 #,##0.00_-;_-* &quot;-&quot;??_-;_-@_-"/>
    <numFmt numFmtId="164" formatCode="[$-2000000]dd/mm/yyyy"/>
    <numFmt numFmtId="165" formatCode="[$-2000401]0"/>
    <numFmt numFmtId="166" formatCode="_(* #,##0.00_);_(* \(#,##0.00\);_(* &quot;-&quot;??_);_(@_)"/>
    <numFmt numFmtId="167" formatCode="_(* #,##0_);_(* \(#,##0\);_(* &quot;-&quot;??_);_(@_)"/>
    <numFmt numFmtId="168" formatCode="&quot;$&quot;#,##0"/>
    <numFmt numFmtId="169" formatCode="_-* #,##0_-;\-* #,##0_-;_-* &quot;-&quot;??_-;_-@_-"/>
  </numFmts>
  <fonts count="30" x14ac:knownFonts="1">
    <font>
      <sz val="11"/>
      <color theme="1"/>
      <name val="Calibri"/>
      <family val="2"/>
      <scheme val="minor"/>
    </font>
    <font>
      <b/>
      <sz val="12"/>
      <color theme="1"/>
      <name val="Calibri"/>
      <family val="2"/>
      <scheme val="minor"/>
    </font>
    <font>
      <sz val="11"/>
      <name val="Calibri"/>
      <family val="2"/>
      <scheme val="minor"/>
    </font>
    <font>
      <sz val="10"/>
      <color rgb="FF4D4D4D"/>
      <name val="Arial"/>
      <family val="2"/>
    </font>
    <font>
      <sz val="10"/>
      <color rgb="FF898989"/>
      <name val="Arial"/>
      <family val="2"/>
    </font>
    <font>
      <sz val="9"/>
      <color rgb="FF52525B"/>
      <name val="Arial"/>
      <family val="2"/>
    </font>
    <font>
      <sz val="9"/>
      <color rgb="FF52525B"/>
      <name val="Arial"/>
      <family val="2"/>
    </font>
    <font>
      <sz val="10"/>
      <name val="Arial"/>
      <family val="2"/>
    </font>
    <font>
      <sz val="16"/>
      <color theme="1"/>
      <name val="Calibri"/>
      <family val="2"/>
      <scheme val="minor"/>
    </font>
    <font>
      <sz val="9"/>
      <color rgb="FF52525B"/>
      <name val="Arial"/>
      <family val="2"/>
    </font>
    <font>
      <b/>
      <sz val="11"/>
      <color theme="1"/>
      <name val="Calibri"/>
      <family val="2"/>
      <scheme val="minor"/>
    </font>
    <font>
      <sz val="14"/>
      <color rgb="FF898989"/>
      <name val="Arial"/>
      <family val="2"/>
    </font>
    <font>
      <sz val="9"/>
      <color rgb="FF52525B"/>
      <name val="Arial"/>
      <family val="2"/>
    </font>
    <font>
      <sz val="9"/>
      <color rgb="FF52525B"/>
      <name val="Arial"/>
      <family val="2"/>
    </font>
    <font>
      <sz val="10"/>
      <color theme="1"/>
      <name val="Arial"/>
      <family val="2"/>
    </font>
    <font>
      <sz val="9"/>
      <color rgb="FF52525B"/>
      <name val="Arial"/>
      <family val="2"/>
    </font>
    <font>
      <sz val="9"/>
      <color rgb="FF52525B"/>
      <name val="Arial"/>
      <family val="2"/>
    </font>
    <font>
      <sz val="8"/>
      <name val="Calibri"/>
      <family val="2"/>
      <scheme val="minor"/>
    </font>
    <font>
      <sz val="11"/>
      <color theme="1"/>
      <name val="Calibri"/>
      <family val="2"/>
      <scheme val="minor"/>
    </font>
    <font>
      <sz val="11"/>
      <color theme="0"/>
      <name val="Calibri"/>
      <family val="2"/>
      <scheme val="minor"/>
    </font>
    <font>
      <sz val="8"/>
      <color rgb="FF000000"/>
      <name val="Segoe UI"/>
      <family val="2"/>
    </font>
    <font>
      <sz val="11"/>
      <color theme="0" tint="-0.249977111117893"/>
      <name val="Calibri"/>
      <family val="2"/>
      <scheme val="minor"/>
    </font>
    <font>
      <sz val="14"/>
      <color theme="0" tint="-0.249977111117893"/>
      <name val="Calibri"/>
      <family val="2"/>
      <scheme val="minor"/>
    </font>
    <font>
      <b/>
      <sz val="11"/>
      <color theme="0" tint="-0.249977111117893"/>
      <name val="Calibri"/>
      <family val="2"/>
      <scheme val="minor"/>
    </font>
    <font>
      <sz val="22"/>
      <color theme="0" tint="-4.9989318521683403E-2"/>
      <name val="Calibri"/>
      <family val="2"/>
      <scheme val="minor"/>
    </font>
    <font>
      <b/>
      <sz val="11"/>
      <color theme="1" tint="0.14999847407452621"/>
      <name val="Calibri"/>
      <family val="2"/>
      <scheme val="minor"/>
    </font>
    <font>
      <sz val="22"/>
      <color theme="1"/>
      <name val="Calibri"/>
      <family val="2"/>
      <scheme val="minor"/>
    </font>
    <font>
      <b/>
      <sz val="12"/>
      <color theme="0"/>
      <name val="Calibri"/>
      <family val="2"/>
      <scheme val="minor"/>
    </font>
    <font>
      <b/>
      <sz val="11"/>
      <color theme="0"/>
      <name val="Calibri"/>
      <family val="2"/>
      <scheme val="minor"/>
    </font>
    <font>
      <sz val="12"/>
      <color theme="1"/>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C00000"/>
        <bgColor indexed="64"/>
      </patternFill>
    </fill>
    <fill>
      <patternFill patternType="solid">
        <fgColor rgb="FFFF0000"/>
        <bgColor indexed="64"/>
      </patternFill>
    </fill>
    <fill>
      <patternFill patternType="solid">
        <fgColor theme="7" tint="0.39997558519241921"/>
        <bgColor indexed="64"/>
      </patternFill>
    </fill>
    <fill>
      <patternFill patternType="solid">
        <fgColor theme="9"/>
        <bgColor indexed="64"/>
      </patternFill>
    </fill>
    <fill>
      <patternFill patternType="solid">
        <fgColor theme="1" tint="0.34998626667073579"/>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rgb="FF1B2A49"/>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166" fontId="18" fillId="0" borderId="0" applyFont="0" applyFill="0" applyBorder="0" applyAlignment="0" applyProtection="0"/>
    <xf numFmtId="43" fontId="18" fillId="0" borderId="0" applyFont="0" applyFill="0" applyBorder="0" applyAlignment="0" applyProtection="0"/>
  </cellStyleXfs>
  <cellXfs count="121">
    <xf numFmtId="0" fontId="0" fillId="0" borderId="0" xfId="0"/>
    <xf numFmtId="0" fontId="0" fillId="0" borderId="0" xfId="0" applyAlignment="1">
      <alignment horizontal="right" vertical="center"/>
    </xf>
    <xf numFmtId="0" fontId="0" fillId="0" borderId="1" xfId="0" applyBorder="1" applyAlignment="1">
      <alignment horizontal="right" vertical="center"/>
    </xf>
    <xf numFmtId="2" fontId="0" fillId="0" borderId="1" xfId="0" applyNumberFormat="1" applyBorder="1" applyAlignment="1">
      <alignment horizontal="right" vertical="center"/>
    </xf>
    <xf numFmtId="2" fontId="0" fillId="0" borderId="0" xfId="0" applyNumberFormat="1" applyAlignment="1">
      <alignment horizontal="right" vertical="center"/>
    </xf>
    <xf numFmtId="0" fontId="0" fillId="2" borderId="1" xfId="0" applyFill="1" applyBorder="1" applyAlignment="1">
      <alignment horizontal="right" vertical="center"/>
    </xf>
    <xf numFmtId="0" fontId="0" fillId="2" borderId="2" xfId="0" applyFill="1" applyBorder="1" applyAlignment="1">
      <alignment horizontal="right" vertical="center"/>
    </xf>
    <xf numFmtId="0" fontId="0" fillId="3" borderId="1" xfId="0" applyFill="1" applyBorder="1" applyAlignment="1">
      <alignment horizontal="right" vertical="center"/>
    </xf>
    <xf numFmtId="0" fontId="0" fillId="3" borderId="1" xfId="0" applyFill="1" applyBorder="1" applyAlignment="1">
      <alignment horizontal="center" vertical="center"/>
    </xf>
    <xf numFmtId="2" fontId="0" fillId="3" borderId="1" xfId="0" applyNumberFormat="1" applyFill="1" applyBorder="1" applyAlignment="1">
      <alignment horizontal="right" vertical="center"/>
    </xf>
    <xf numFmtId="0" fontId="0" fillId="4" borderId="1" xfId="0" applyFill="1" applyBorder="1" applyAlignment="1">
      <alignment horizontal="right" vertical="center"/>
    </xf>
    <xf numFmtId="0" fontId="0" fillId="4" borderId="1" xfId="0" applyFill="1" applyBorder="1" applyAlignment="1">
      <alignment horizontal="center" vertical="center"/>
    </xf>
    <xf numFmtId="2" fontId="0" fillId="4" borderId="1" xfId="0" applyNumberFormat="1" applyFill="1" applyBorder="1" applyAlignment="1">
      <alignment horizontal="right" vertical="center"/>
    </xf>
    <xf numFmtId="14" fontId="0" fillId="3" borderId="1" xfId="0" applyNumberFormat="1" applyFill="1" applyBorder="1" applyAlignment="1">
      <alignment horizontal="right" vertical="center"/>
    </xf>
    <xf numFmtId="0" fontId="3" fillId="3" borderId="1" xfId="0" applyFont="1" applyFill="1" applyBorder="1" applyAlignment="1">
      <alignment horizontal="center"/>
    </xf>
    <xf numFmtId="0" fontId="0" fillId="3" borderId="2" xfId="0" applyFill="1" applyBorder="1" applyAlignment="1">
      <alignment horizontal="right" vertical="center"/>
    </xf>
    <xf numFmtId="2" fontId="0" fillId="3" borderId="1" xfId="0" applyNumberFormat="1" applyFill="1" applyBorder="1" applyAlignment="1">
      <alignment horizontal="center" vertical="center"/>
    </xf>
    <xf numFmtId="14" fontId="0" fillId="3" borderId="1" xfId="0" applyNumberFormat="1" applyFill="1" applyBorder="1" applyAlignment="1">
      <alignment horizontal="center" vertical="center"/>
    </xf>
    <xf numFmtId="0" fontId="3" fillId="3" borderId="0" xfId="0" applyFont="1" applyFill="1"/>
    <xf numFmtId="0" fontId="0" fillId="5" borderId="2" xfId="0" applyFill="1" applyBorder="1" applyAlignment="1">
      <alignment horizontal="right" vertical="center"/>
    </xf>
    <xf numFmtId="0" fontId="0" fillId="6" borderId="3" xfId="0" applyFill="1" applyBorder="1" applyAlignment="1">
      <alignment horizontal="right" vertical="center"/>
    </xf>
    <xf numFmtId="0" fontId="0" fillId="6" borderId="1" xfId="0" applyFill="1" applyBorder="1" applyAlignment="1">
      <alignment horizontal="right" vertical="center"/>
    </xf>
    <xf numFmtId="2" fontId="0" fillId="6" borderId="3" xfId="0" applyNumberFormat="1" applyFill="1" applyBorder="1" applyAlignment="1">
      <alignment horizontal="right" vertical="center"/>
    </xf>
    <xf numFmtId="164" fontId="0" fillId="6" borderId="3" xfId="0" applyNumberFormat="1" applyFill="1" applyBorder="1" applyAlignment="1">
      <alignment horizontal="right" vertical="center"/>
    </xf>
    <xf numFmtId="2" fontId="0" fillId="6" borderId="1" xfId="0" applyNumberFormat="1" applyFill="1" applyBorder="1" applyAlignment="1">
      <alignment horizontal="right" vertical="center"/>
    </xf>
    <xf numFmtId="164" fontId="0" fillId="6" borderId="1" xfId="0" applyNumberFormat="1" applyFill="1" applyBorder="1" applyAlignment="1">
      <alignment horizontal="right" vertical="center"/>
    </xf>
    <xf numFmtId="14" fontId="0" fillId="6" borderId="1" xfId="0" applyNumberFormat="1" applyFill="1" applyBorder="1" applyAlignment="1">
      <alignment horizontal="right" vertical="center"/>
    </xf>
    <xf numFmtId="14" fontId="0" fillId="4" borderId="1" xfId="0" applyNumberFormat="1" applyFill="1" applyBorder="1" applyAlignment="1">
      <alignment horizontal="right" vertical="center"/>
    </xf>
    <xf numFmtId="0" fontId="0" fillId="6" borderId="1" xfId="0" applyFill="1" applyBorder="1" applyAlignment="1">
      <alignment horizontal="center" vertical="center"/>
    </xf>
    <xf numFmtId="0" fontId="0" fillId="6" borderId="0" xfId="0" applyFill="1" applyAlignment="1">
      <alignment horizontal="right" vertical="center"/>
    </xf>
    <xf numFmtId="14" fontId="0" fillId="6" borderId="3" xfId="0" applyNumberFormat="1" applyFill="1" applyBorder="1" applyAlignment="1">
      <alignment horizontal="right" vertical="center"/>
    </xf>
    <xf numFmtId="0" fontId="3" fillId="6" borderId="1" xfId="0" applyFont="1" applyFill="1" applyBorder="1" applyAlignment="1">
      <alignment horizontal="center"/>
    </xf>
    <xf numFmtId="0" fontId="0" fillId="6" borderId="2" xfId="0" applyFill="1" applyBorder="1" applyAlignment="1">
      <alignment horizontal="right" vertical="center"/>
    </xf>
    <xf numFmtId="2" fontId="0" fillId="6" borderId="1" xfId="0" applyNumberFormat="1" applyFill="1" applyBorder="1" applyAlignment="1">
      <alignment horizontal="center" vertical="center"/>
    </xf>
    <xf numFmtId="14" fontId="0" fillId="6" borderId="1" xfId="0" applyNumberFormat="1" applyFill="1" applyBorder="1" applyAlignment="1">
      <alignment horizontal="center" vertical="center"/>
    </xf>
    <xf numFmtId="0" fontId="2" fillId="3" borderId="1" xfId="0" applyFont="1" applyFill="1" applyBorder="1" applyAlignment="1">
      <alignment horizontal="center" vertical="center"/>
    </xf>
    <xf numFmtId="14" fontId="2" fillId="3" borderId="1" xfId="0" applyNumberFormat="1" applyFont="1" applyFill="1" applyBorder="1" applyAlignment="1">
      <alignment horizontal="center" vertical="center"/>
    </xf>
    <xf numFmtId="0" fontId="3" fillId="4" borderId="1" xfId="0" applyFont="1" applyFill="1" applyBorder="1" applyAlignment="1">
      <alignment horizontal="center"/>
    </xf>
    <xf numFmtId="0" fontId="0" fillId="4" borderId="2" xfId="0" applyFill="1" applyBorder="1" applyAlignment="1">
      <alignment horizontal="right" vertical="center"/>
    </xf>
    <xf numFmtId="2" fontId="0" fillId="4" borderId="1" xfId="0" applyNumberFormat="1" applyFill="1" applyBorder="1" applyAlignment="1">
      <alignment horizontal="center" vertical="center"/>
    </xf>
    <xf numFmtId="14" fontId="0" fillId="4" borderId="1" xfId="0" applyNumberFormat="1" applyFill="1" applyBorder="1" applyAlignment="1">
      <alignment horizontal="center" vertical="center"/>
    </xf>
    <xf numFmtId="0" fontId="2" fillId="6" borderId="1" xfId="0" applyFont="1" applyFill="1" applyBorder="1" applyAlignment="1">
      <alignment horizontal="center" vertical="center"/>
    </xf>
    <xf numFmtId="0" fontId="2" fillId="6" borderId="2" xfId="0" applyFont="1" applyFill="1" applyBorder="1" applyAlignment="1">
      <alignment horizontal="right" vertical="center"/>
    </xf>
    <xf numFmtId="2" fontId="2" fillId="6" borderId="1" xfId="0" applyNumberFormat="1" applyFont="1" applyFill="1" applyBorder="1" applyAlignment="1">
      <alignment horizontal="center" vertical="center"/>
    </xf>
    <xf numFmtId="14" fontId="2" fillId="6" borderId="1" xfId="0" applyNumberFormat="1" applyFont="1" applyFill="1" applyBorder="1" applyAlignment="1">
      <alignment horizontal="center" vertical="center"/>
    </xf>
    <xf numFmtId="2" fontId="2" fillId="4" borderId="1" xfId="0" applyNumberFormat="1" applyFont="1" applyFill="1" applyBorder="1" applyAlignment="1">
      <alignment horizontal="center" vertical="center"/>
    </xf>
    <xf numFmtId="14" fontId="2" fillId="4" borderId="1" xfId="0" applyNumberFormat="1" applyFont="1" applyFill="1" applyBorder="1" applyAlignment="1">
      <alignment horizontal="center" vertical="center"/>
    </xf>
    <xf numFmtId="0" fontId="7" fillId="6" borderId="1" xfId="0" applyFont="1" applyFill="1" applyBorder="1" applyAlignment="1">
      <alignment horizontal="center"/>
    </xf>
    <xf numFmtId="0" fontId="5" fillId="3" borderId="0" xfId="0" applyFont="1" applyFill="1" applyAlignment="1">
      <alignment wrapText="1"/>
    </xf>
    <xf numFmtId="0" fontId="8" fillId="6" borderId="0" xfId="0" applyFont="1" applyFill="1"/>
    <xf numFmtId="0" fontId="10" fillId="6" borderId="1" xfId="0" applyFont="1" applyFill="1" applyBorder="1" applyAlignment="1">
      <alignment horizontal="center" vertical="center"/>
    </xf>
    <xf numFmtId="0" fontId="9" fillId="6" borderId="0" xfId="0" applyFont="1" applyFill="1" applyAlignment="1">
      <alignment wrapText="1"/>
    </xf>
    <xf numFmtId="0" fontId="4" fillId="6" borderId="1" xfId="0" applyFont="1" applyFill="1" applyBorder="1" applyAlignment="1">
      <alignment horizontal="center"/>
    </xf>
    <xf numFmtId="0" fontId="2" fillId="4" borderId="1" xfId="0" applyFont="1" applyFill="1" applyBorder="1" applyAlignment="1">
      <alignment horizontal="center" vertical="center"/>
    </xf>
    <xf numFmtId="0" fontId="2" fillId="4" borderId="2" xfId="0" applyFont="1" applyFill="1" applyBorder="1" applyAlignment="1">
      <alignment horizontal="right" vertical="center"/>
    </xf>
    <xf numFmtId="0" fontId="6" fillId="6" borderId="0" xfId="0" applyFont="1" applyFill="1" applyAlignment="1">
      <alignment wrapText="1"/>
    </xf>
    <xf numFmtId="0" fontId="11" fillId="6" borderId="0" xfId="0" applyFont="1" applyFill="1" applyAlignment="1">
      <alignment wrapText="1"/>
    </xf>
    <xf numFmtId="165" fontId="0" fillId="6" borderId="1" xfId="0" applyNumberFormat="1" applyFill="1" applyBorder="1" applyAlignment="1">
      <alignment horizontal="right" vertical="center"/>
    </xf>
    <xf numFmtId="0" fontId="11" fillId="0" borderId="0" xfId="0" applyFont="1" applyAlignment="1">
      <alignment wrapText="1"/>
    </xf>
    <xf numFmtId="2" fontId="2" fillId="3" borderId="1" xfId="0" applyNumberFormat="1" applyFont="1" applyFill="1" applyBorder="1" applyAlignment="1">
      <alignment horizontal="center" vertical="center"/>
    </xf>
    <xf numFmtId="0" fontId="12" fillId="6" borderId="0" xfId="0" applyFont="1" applyFill="1" applyAlignment="1">
      <alignment wrapText="1"/>
    </xf>
    <xf numFmtId="0" fontId="12" fillId="3" borderId="0" xfId="0" applyFont="1" applyFill="1" applyAlignment="1">
      <alignment wrapText="1"/>
    </xf>
    <xf numFmtId="14" fontId="0" fillId="0" borderId="1" xfId="0" applyNumberFormat="1" applyBorder="1" applyAlignment="1">
      <alignment horizontal="right" vertical="center"/>
    </xf>
    <xf numFmtId="0" fontId="13" fillId="6" borderId="0" xfId="0" applyFont="1" applyFill="1" applyAlignment="1">
      <alignment wrapText="1"/>
    </xf>
    <xf numFmtId="0" fontId="14" fillId="6" borderId="0" xfId="0" applyFont="1" applyFill="1" applyAlignment="1">
      <alignment wrapText="1"/>
    </xf>
    <xf numFmtId="0" fontId="15" fillId="6" borderId="0" xfId="0" applyFont="1" applyFill="1" applyAlignment="1">
      <alignment wrapText="1"/>
    </xf>
    <xf numFmtId="0" fontId="0" fillId="3" borderId="0" xfId="0" applyFill="1" applyAlignment="1">
      <alignment horizontal="right" vertical="center"/>
    </xf>
    <xf numFmtId="0" fontId="11" fillId="3" borderId="0" xfId="0" applyFont="1" applyFill="1" applyAlignment="1">
      <alignment wrapText="1"/>
    </xf>
    <xf numFmtId="165" fontId="0" fillId="3" borderId="1" xfId="0" applyNumberFormat="1" applyFill="1" applyBorder="1" applyAlignment="1">
      <alignment horizontal="right" vertical="center"/>
    </xf>
    <xf numFmtId="0" fontId="16" fillId="6" borderId="0" xfId="0" applyFont="1" applyFill="1" applyAlignment="1">
      <alignment wrapText="1"/>
    </xf>
    <xf numFmtId="0" fontId="0" fillId="6" borderId="4" xfId="0" applyFill="1" applyBorder="1" applyAlignment="1">
      <alignment horizontal="right" vertical="center"/>
    </xf>
    <xf numFmtId="0" fontId="0" fillId="3" borderId="2" xfId="0" applyFill="1" applyBorder="1" applyAlignment="1">
      <alignment horizontal="center" vertical="center"/>
    </xf>
    <xf numFmtId="0" fontId="0" fillId="4" borderId="2" xfId="0" applyFill="1" applyBorder="1" applyAlignment="1">
      <alignment horizontal="center" vertical="center"/>
    </xf>
    <xf numFmtId="0" fontId="0" fillId="6" borderId="2" xfId="0" applyFill="1" applyBorder="1" applyAlignment="1">
      <alignment horizontal="center" vertical="center"/>
    </xf>
    <xf numFmtId="0" fontId="2" fillId="4" borderId="2" xfId="0" applyFont="1" applyFill="1" applyBorder="1" applyAlignment="1">
      <alignment horizontal="center" vertical="center"/>
    </xf>
    <xf numFmtId="0" fontId="2" fillId="6" borderId="2" xfId="0" applyFont="1" applyFill="1" applyBorder="1" applyAlignment="1">
      <alignment horizontal="center" vertical="center"/>
    </xf>
    <xf numFmtId="0" fontId="0" fillId="0" borderId="2" xfId="0" applyBorder="1" applyAlignment="1">
      <alignment horizontal="right" vertical="center"/>
    </xf>
    <xf numFmtId="0" fontId="1" fillId="7" borderId="4" xfId="0" applyFont="1" applyFill="1" applyBorder="1" applyAlignment="1">
      <alignment horizontal="center" vertical="center"/>
    </xf>
    <xf numFmtId="0" fontId="1" fillId="7" borderId="3" xfId="0" applyFont="1" applyFill="1" applyBorder="1" applyAlignment="1">
      <alignment horizontal="center" vertical="center"/>
    </xf>
    <xf numFmtId="0" fontId="1" fillId="7" borderId="4" xfId="0" applyFont="1" applyFill="1" applyBorder="1" applyAlignment="1">
      <alignment horizontal="right" vertical="center"/>
    </xf>
    <xf numFmtId="2" fontId="1" fillId="7" borderId="3" xfId="0" applyNumberFormat="1" applyFont="1" applyFill="1" applyBorder="1" applyAlignment="1">
      <alignment horizontal="center" vertical="center"/>
    </xf>
    <xf numFmtId="0" fontId="0" fillId="7" borderId="3" xfId="0" applyFill="1" applyBorder="1" applyAlignment="1">
      <alignment horizontal="center" vertical="center"/>
    </xf>
    <xf numFmtId="0" fontId="0" fillId="7" borderId="0" xfId="0" applyFill="1" applyAlignment="1">
      <alignment horizontal="right" vertical="center"/>
    </xf>
    <xf numFmtId="22" fontId="0" fillId="0" borderId="0" xfId="0" applyNumberFormat="1"/>
    <xf numFmtId="0" fontId="0" fillId="9" borderId="0" xfId="0" applyFill="1"/>
    <xf numFmtId="167" fontId="24" fillId="9" borderId="0" xfId="1" applyNumberFormat="1" applyFont="1" applyFill="1" applyAlignment="1">
      <alignment horizontal="center" vertical="center"/>
    </xf>
    <xf numFmtId="168" fontId="24" fillId="9" borderId="0" xfId="0" applyNumberFormat="1" applyFont="1" applyFill="1" applyAlignment="1">
      <alignment horizontal="center" vertical="center"/>
    </xf>
    <xf numFmtId="167" fontId="26" fillId="9" borderId="0" xfId="1" applyNumberFormat="1" applyFont="1" applyFill="1"/>
    <xf numFmtId="168" fontId="26" fillId="9" borderId="0" xfId="0" applyNumberFormat="1" applyFont="1" applyFill="1"/>
    <xf numFmtId="0" fontId="0" fillId="10" borderId="0" xfId="0" applyFill="1"/>
    <xf numFmtId="0" fontId="21" fillId="10" borderId="0" xfId="0" applyFont="1" applyFill="1"/>
    <xf numFmtId="0" fontId="23" fillId="10" borderId="0" xfId="0" applyFont="1" applyFill="1" applyAlignment="1">
      <alignment vertical="center"/>
    </xf>
    <xf numFmtId="0" fontId="25" fillId="10" borderId="0" xfId="0" applyFont="1" applyFill="1"/>
    <xf numFmtId="0" fontId="22" fillId="10" borderId="0" xfId="0" applyFont="1" applyFill="1" applyAlignment="1">
      <alignment horizontal="center" vertical="center"/>
    </xf>
    <xf numFmtId="167" fontId="24" fillId="10" borderId="0" xfId="1" applyNumberFormat="1" applyFont="1" applyFill="1" applyAlignment="1">
      <alignment horizontal="center" vertical="center"/>
    </xf>
    <xf numFmtId="168" fontId="24" fillId="10" borderId="0" xfId="0" applyNumberFormat="1" applyFont="1" applyFill="1" applyAlignment="1">
      <alignment horizontal="center" vertical="center"/>
    </xf>
    <xf numFmtId="0" fontId="0" fillId="0" borderId="1" xfId="0" applyBorder="1"/>
    <xf numFmtId="0" fontId="10" fillId="8" borderId="1" xfId="0" applyFont="1" applyFill="1" applyBorder="1"/>
    <xf numFmtId="169" fontId="0" fillId="0" borderId="1" xfId="0" applyNumberFormat="1" applyBorder="1"/>
    <xf numFmtId="10" fontId="0" fillId="0" borderId="1" xfId="0" applyNumberFormat="1" applyBorder="1"/>
    <xf numFmtId="0" fontId="0" fillId="0" borderId="1" xfId="0" pivotButton="1" applyBorder="1"/>
    <xf numFmtId="0" fontId="0" fillId="0" borderId="1" xfId="0" applyBorder="1" applyAlignment="1">
      <alignment horizontal="left"/>
    </xf>
    <xf numFmtId="0" fontId="10" fillId="0" borderId="1" xfId="0" applyFont="1" applyBorder="1"/>
    <xf numFmtId="0" fontId="28" fillId="10" borderId="0" xfId="0" applyFont="1" applyFill="1" applyAlignment="1">
      <alignment horizontal="center" vertical="center"/>
    </xf>
    <xf numFmtId="169" fontId="10" fillId="0" borderId="1" xfId="2" applyNumberFormat="1" applyFont="1" applyBorder="1"/>
    <xf numFmtId="169" fontId="0" fillId="0" borderId="1" xfId="2" applyNumberFormat="1" applyFont="1" applyBorder="1"/>
    <xf numFmtId="0" fontId="0" fillId="0" borderId="8" xfId="0" applyBorder="1"/>
    <xf numFmtId="0" fontId="19" fillId="9" borderId="0" xfId="0" applyFont="1" applyFill="1"/>
    <xf numFmtId="0" fontId="0" fillId="0" borderId="1" xfId="0" applyBorder="1" applyAlignment="1">
      <alignment horizontal="center" wrapText="1"/>
    </xf>
    <xf numFmtId="0" fontId="29" fillId="0" borderId="1" xfId="0" applyFont="1" applyBorder="1" applyAlignment="1">
      <alignment horizontal="center" vertical="center"/>
    </xf>
    <xf numFmtId="0" fontId="27" fillId="10" borderId="6" xfId="0" applyFont="1" applyFill="1" applyBorder="1" applyAlignment="1">
      <alignment horizontal="center" vertical="center"/>
    </xf>
    <xf numFmtId="0" fontId="27" fillId="10" borderId="0" xfId="0" applyFont="1" applyFill="1" applyAlignment="1">
      <alignment horizontal="center" vertical="center"/>
    </xf>
    <xf numFmtId="0" fontId="27" fillId="10" borderId="7" xfId="0" applyFont="1" applyFill="1" applyBorder="1" applyAlignment="1">
      <alignment horizontal="center" vertical="center"/>
    </xf>
    <xf numFmtId="0" fontId="27" fillId="10" borderId="5" xfId="0" applyFont="1" applyFill="1" applyBorder="1" applyAlignment="1">
      <alignment horizontal="center" vertical="center"/>
    </xf>
    <xf numFmtId="0" fontId="27" fillId="10" borderId="0" xfId="0" applyFont="1" applyFill="1" applyAlignment="1">
      <alignment horizontal="center" vertical="center" wrapText="1"/>
    </xf>
    <xf numFmtId="0" fontId="27" fillId="10" borderId="5" xfId="0" applyFont="1" applyFill="1" applyBorder="1" applyAlignment="1">
      <alignment horizontal="center" vertical="center" wrapText="1"/>
    </xf>
    <xf numFmtId="0" fontId="28" fillId="10" borderId="0" xfId="0" applyFont="1" applyFill="1" applyAlignment="1">
      <alignment horizontal="center" wrapText="1"/>
    </xf>
    <xf numFmtId="0" fontId="28" fillId="10" borderId="5" xfId="0" applyFont="1" applyFill="1" applyBorder="1" applyAlignment="1">
      <alignment horizontal="center" wrapText="1"/>
    </xf>
    <xf numFmtId="0" fontId="28" fillId="10" borderId="0" xfId="0" applyFont="1" applyFill="1" applyAlignment="1">
      <alignment horizontal="center" vertical="center" wrapText="1"/>
    </xf>
    <xf numFmtId="0" fontId="28" fillId="10" borderId="5" xfId="0" applyFont="1" applyFill="1" applyBorder="1" applyAlignment="1">
      <alignment horizontal="center" vertical="center" wrapText="1"/>
    </xf>
    <xf numFmtId="0" fontId="0" fillId="0" borderId="1" xfId="0" applyBorder="1" applyAlignment="1">
      <alignment horizontal="center" vertical="center"/>
    </xf>
  </cellXfs>
  <cellStyles count="3">
    <cellStyle name="Comma" xfId="2" builtinId="3"/>
    <cellStyle name="Comma 2" xfId="1" xr:uid="{A305EBED-200E-4C92-A095-4275F43EC98C}"/>
    <cellStyle name="Normal" xfId="0" builtinId="0"/>
  </cellStyles>
  <dxfs count="118">
    <dxf>
      <numFmt numFmtId="0" formatCode="General"/>
    </dxf>
    <dxf>
      <numFmt numFmtId="27" formatCode="dd/mm/yyyy\ hh:mm"/>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_-* #,##0_-;\-* #,##0_-;_-* &quot;-&quot;??_-;_-@_-"/>
    </dxf>
    <dxf>
      <numFmt numFmtId="169"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69" formatCode="_-* #,##0_-;\-* #,##0_-;_-* &quot;-&quot;??_-;_-@_-"/>
    </dxf>
    <dxf>
      <numFmt numFmtId="169"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69"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69" formatCode="_-* #,##0_-;\-* #,##0_-;_-* &quot;-&quot;??_-;_-@_-"/>
    </dxf>
    <dxf>
      <numFmt numFmtId="0" formatCode="General"/>
    </dxf>
    <dxf>
      <numFmt numFmtId="0" formatCode="General"/>
    </dxf>
    <dxf>
      <numFmt numFmtId="0" formatCode="General"/>
    </dxf>
    <dxf>
      <numFmt numFmtId="0" formatCode="General"/>
    </dxf>
    <dxf>
      <numFmt numFmtId="0" formatCode="General"/>
    </dxf>
    <dxf>
      <numFmt numFmtId="27" formatCode="dd/mm/yyyy\ hh:mm"/>
    </dxf>
    <dxf>
      <numFmt numFmtId="27" formatCode="dd/mm/yyyy\ hh:mm"/>
    </dxf>
    <dxf>
      <numFmt numFmtId="27" formatCode="dd/mm/yyyy\ h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indexed="64"/>
          <bgColor theme="9"/>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9" formatCode="dd/mm/yyyy"/>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9" formatCode="dd/mm/yyyy"/>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9" formatCode="dd/mm/yyyy"/>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patternFill>
      </fill>
      <alignment horizontal="right"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fill>
        <patternFill patternType="solid">
          <fgColor indexed="64"/>
          <bgColor theme="9"/>
        </patternFill>
      </fill>
      <alignment horizontal="right"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2"/>
        <color theme="1"/>
        <name val="Calibri"/>
        <family val="2"/>
        <scheme val="minor"/>
      </font>
      <fill>
        <patternFill patternType="solid">
          <fgColor indexed="64"/>
          <bgColor theme="1" tint="0.34998626667073579"/>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color theme="0" tint="-0.24994659260841701"/>
      </font>
      <fill>
        <patternFill>
          <bgColor rgb="FF7030A0"/>
        </patternFill>
      </fill>
      <border diagonalUp="0" diagonalDown="0">
        <left/>
        <right/>
        <top/>
        <bottom/>
        <vertical/>
        <horizontal/>
      </border>
    </dxf>
    <dxf>
      <font>
        <color theme="1"/>
      </font>
      <fill>
        <patternFill>
          <bgColor rgb="FF7030A0"/>
        </patternFill>
      </fill>
      <border diagonalUp="0" diagonalDown="0">
        <left/>
        <right/>
        <top/>
        <bottom/>
        <vertical/>
        <horizontal/>
      </border>
    </dxf>
    <dxf>
      <font>
        <b/>
        <i val="0"/>
        <color theme="0" tint="-0.24994659260841701"/>
      </font>
      <fill>
        <patternFill>
          <bgColor rgb="FF7030A0"/>
        </patternFill>
      </fill>
      <border diagonalUp="0" diagonalDown="0">
        <left/>
        <right/>
        <top/>
        <bottom/>
        <vertical/>
        <horizontal/>
      </border>
    </dxf>
    <dxf>
      <font>
        <color theme="1"/>
      </font>
      <fill>
        <patternFill>
          <bgColor rgb="FF7030A0"/>
        </patternFill>
      </fill>
      <border diagonalUp="0" diagonalDown="0">
        <left/>
        <right/>
        <top/>
        <bottom/>
        <vertical/>
        <horizontal/>
      </border>
    </dxf>
    <dxf>
      <font>
        <b/>
        <i val="0"/>
        <color theme="0" tint="-0.24994659260841701"/>
      </font>
      <fill>
        <patternFill>
          <bgColor rgb="FF7030A0"/>
        </patternFill>
      </fill>
      <border diagonalUp="0" diagonalDown="0">
        <left/>
        <right/>
        <top/>
        <bottom/>
        <vertical/>
        <horizontal/>
      </border>
    </dxf>
    <dxf>
      <font>
        <color theme="1"/>
      </font>
      <fill>
        <patternFill>
          <bgColor rgb="FF7030A0"/>
        </patternFill>
      </fill>
      <border diagonalUp="0" diagonalDown="0">
        <left/>
        <right/>
        <top/>
        <bottom/>
        <vertical/>
        <horizontal/>
      </border>
    </dxf>
    <dxf>
      <font>
        <b/>
        <i val="0"/>
        <color theme="0"/>
      </font>
    </dxf>
    <dxf>
      <fill>
        <patternFill>
          <fgColor theme="0"/>
          <bgColor rgb="FF1B2A49"/>
        </patternFill>
      </fill>
    </dxf>
    <dxf>
      <fill>
        <patternFill>
          <fgColor rgb="FF1B2A49"/>
        </patternFill>
      </fill>
    </dxf>
    <dxf>
      <fill>
        <patternFill>
          <fgColor rgb="FF1B2A49"/>
        </patternFill>
      </fill>
    </dxf>
  </dxfs>
  <tableStyles count="7" defaultTableStyle="TableStyleMedium2" defaultPivotStyle="PivotStyleLight16">
    <tableStyle name="Invisible" pivot="0" table="0" count="0" xr9:uid="{AA73528B-8D85-432A-9172-AA70B5E8C669}"/>
    <tableStyle name="Slicer Style 1" pivot="0" table="0" count="1" xr9:uid="{1C137917-6B25-4863-88EB-54EA30C95AC6}">
      <tableStyleElement type="wholeTable" dxfId="117"/>
    </tableStyle>
    <tableStyle name="Slicer Style 2" pivot="0" table="0" count="1" xr9:uid="{89CA9E6E-1B49-4D58-BAD6-E392918D954B}">
      <tableStyleElement type="headerRow" dxfId="116"/>
    </tableStyle>
    <tableStyle name="Slicer Style 3" pivot="0" table="0" count="7" xr9:uid="{BDF1CD90-62F0-44AA-ABCE-359B932A5A49}">
      <tableStyleElement type="wholeTable" dxfId="115"/>
      <tableStyleElement type="headerRow" dxfId="114"/>
    </tableStyle>
    <tableStyle name="SlicerStyleLight1 2" pivot="0" table="0" count="10" xr9:uid="{31A3A06F-967C-4BF0-984D-FB2BDA75EF35}">
      <tableStyleElement type="wholeTable" dxfId="113"/>
      <tableStyleElement type="headerRow" dxfId="112"/>
    </tableStyle>
    <tableStyle name="SlicerStyleLight1 2 2" pivot="0" table="0" count="10" xr9:uid="{5C8C8CEC-2266-43B4-B311-3C5633C3C4A7}">
      <tableStyleElement type="wholeTable" dxfId="111"/>
      <tableStyleElement type="headerRow" dxfId="110"/>
    </tableStyle>
    <tableStyle name="SlicerStyleLight1 2 3" pivot="0" table="0" count="10" xr9:uid="{8D486CDA-7EA0-4400-91F0-96B02CF10DFF}">
      <tableStyleElement type="wholeTable" dxfId="109"/>
      <tableStyleElement type="headerRow" dxfId="108"/>
    </tableStyle>
  </tableStyles>
  <colors>
    <mruColors>
      <color rgb="FF1B2A49"/>
      <color rgb="FF680000"/>
      <color rgb="FF500000"/>
      <color rgb="FF760000"/>
      <color rgb="FFFF8F8F"/>
      <color rgb="FFFF2121"/>
      <color rgb="FFF20000"/>
    </mruColors>
  </colors>
  <extLst>
    <ext xmlns:x14="http://schemas.microsoft.com/office/spreadsheetml/2009/9/main" uri="{46F421CA-312F-682f-3DD2-61675219B42D}">
      <x14:dxfs count="29">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color rgb="FF000000"/>
          </font>
          <fill>
            <patternFill patternType="solid">
              <fgColor auto="1"/>
              <bgColor theme="5"/>
            </patternFill>
          </fill>
          <border diagonalUp="0" diagonalDown="0">
            <left/>
            <right/>
            <top/>
            <bottom/>
            <vertical/>
            <horizontal/>
          </border>
        </dxf>
        <dxf>
          <font>
            <b/>
            <i/>
            <color theme="1" tint="0.24994659260841701"/>
          </font>
          <fill>
            <patternFill patternType="solid">
              <fgColor auto="1"/>
              <bgColor rgb="FF00B0F0"/>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tint="-4.9989318521683403E-2"/>
          </font>
          <fill>
            <patternFill patternType="solid">
              <fgColor theme="4" tint="0.59999389629810485"/>
              <bgColor rgb="FF57257D"/>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0.14996795556505021"/>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color rgb="FF000000"/>
          </font>
          <fill>
            <patternFill patternType="solid">
              <fgColor auto="1"/>
              <bgColor theme="5"/>
            </patternFill>
          </fill>
          <border diagonalUp="0" diagonalDown="0">
            <left/>
            <right/>
            <top/>
            <bottom/>
            <vertical/>
            <horizontal/>
          </border>
        </dxf>
        <dxf>
          <font>
            <b/>
            <i/>
            <color theme="1" tint="0.24994659260841701"/>
          </font>
          <fill>
            <patternFill patternType="solid">
              <fgColor auto="1"/>
              <bgColor rgb="FF00B0F0"/>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tint="-4.9989318521683403E-2"/>
          </font>
          <fill>
            <patternFill patternType="solid">
              <fgColor theme="4" tint="0.59999389629810485"/>
              <bgColor rgb="FF57257D"/>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0.14996795556505021"/>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color rgb="FF000000"/>
          </font>
          <fill>
            <patternFill patternType="solid">
              <fgColor auto="1"/>
              <bgColor theme="5"/>
            </patternFill>
          </fill>
          <border diagonalUp="0" diagonalDown="0">
            <left/>
            <right/>
            <top/>
            <bottom/>
            <vertical/>
            <horizontal/>
          </border>
        </dxf>
        <dxf>
          <font>
            <b/>
            <i/>
            <color theme="1" tint="0.24994659260841701"/>
          </font>
          <fill>
            <patternFill patternType="solid">
              <fgColor auto="1"/>
              <bgColor rgb="FF00B0F0"/>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tint="-4.9989318521683403E-2"/>
          </font>
          <fill>
            <patternFill patternType="solid">
              <fgColor theme="4" tint="0.59999389629810485"/>
              <bgColor rgb="FF57257D"/>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0.14996795556505021"/>
            </patternFill>
          </fill>
          <border diagonalUp="0" diagonalDown="0">
            <left/>
            <right/>
            <top/>
            <bottom/>
            <vertical/>
            <horizontal/>
          </border>
        </dxf>
        <dxf>
          <font>
            <b/>
            <i val="0"/>
            <color theme="0"/>
          </font>
          <fill>
            <patternFill patternType="solid">
              <bgColor rgb="FFC00000"/>
            </patternFill>
          </fill>
        </dxf>
        <dxf>
          <font>
            <b/>
            <i val="0"/>
            <color theme="0"/>
          </font>
          <fill>
            <patternFill>
              <bgColor rgb="FFC00000"/>
            </patternFill>
          </fill>
        </dxf>
        <dxf>
          <fill>
            <patternFill>
              <bgColor theme="0"/>
            </patternFill>
          </fill>
        </dxf>
        <dxf>
          <font>
            <b/>
            <i val="0"/>
            <color theme="0"/>
          </font>
          <fill>
            <patternFill>
              <fgColor rgb="FFC00000"/>
              <bgColor rgb="FFC00000"/>
            </patternFill>
          </fill>
        </dxf>
        <dxf>
          <fill>
            <patternFill>
              <bgColor theme="0"/>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unselectedItemWithData" dxfId="28"/>
            <x14:slicerStyleElement type="selectedItemWithData" dxfId="27"/>
            <x14:slicerStyleElement type="selectedItemWithNoData" dxfId="26"/>
            <x14:slicerStyleElement type="hoveredUnselectedItemWithData" dxfId="25"/>
            <x14:slicerStyleElement type="hoveredSelectedItemWithData" dxfId="24"/>
          </x14:slicerStyleElements>
        </x14:slicerStyle>
        <x14:slicerStyle name="SlicerStyleLight1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1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5824277953279791"/>
          <c:y val="4.363636363636364E-2"/>
          <c:w val="0.54175722046720209"/>
          <c:h val="0.94181818181818178"/>
        </c:manualLayout>
      </c:layout>
      <c:barChart>
        <c:barDir val="bar"/>
        <c:grouping val="clustered"/>
        <c:varyColors val="0"/>
        <c:dLbls>
          <c:dLblPos val="outEnd"/>
          <c:showLegendKey val="0"/>
          <c:showVal val="1"/>
          <c:showCatName val="0"/>
          <c:showSerName val="0"/>
          <c:showPercent val="0"/>
          <c:showBubbleSize val="0"/>
        </c:dLbls>
        <c:gapWidth val="22"/>
        <c:axId val="1147931871"/>
        <c:axId val="1867572991"/>
      </c:barChart>
      <c:catAx>
        <c:axId val="1147931871"/>
        <c:scaling>
          <c:orientation val="maxMin"/>
        </c:scaling>
        <c:delete val="0"/>
        <c:axPos val="l"/>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a:t>Sales</a:t>
                </a:r>
                <a:r>
                  <a:rPr lang="en-US" sz="1100" baseline="0"/>
                  <a:t> Regions</a:t>
                </a:r>
                <a:endParaRPr lang="en-US" sz="1100"/>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867572991"/>
        <c:crosses val="autoZero"/>
        <c:auto val="1"/>
        <c:lblAlgn val="ctr"/>
        <c:lblOffset val="100"/>
        <c:noMultiLvlLbl val="0"/>
      </c:catAx>
      <c:valAx>
        <c:axId val="1867572991"/>
        <c:scaling>
          <c:orientation val="minMax"/>
        </c:scaling>
        <c:delete val="1"/>
        <c:axPos val="t"/>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147931871"/>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[MISUO Sales Dashboard.xlsm]Analysis (Pvt)!Monthly Trend of On-Time Delivered Orders</c:name>
    <c:fmtId val="9"/>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1">
                <a:solidFill>
                  <a:srgbClr val="1B2A49"/>
                </a:solidFill>
              </a:rPr>
              <a:t>Monthly On-Time Delivery Trend</a:t>
            </a:r>
            <a:endParaRPr lang="en-US" sz="1600">
              <a:solidFill>
                <a:srgbClr val="1B2A49"/>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C00000"/>
            </a:solidFill>
            <a:round/>
            <a:headEnd type="oval" w="lg" len="med"/>
            <a:tailEnd type="stealth" w="lg" len="med"/>
          </a:ln>
          <a:effectLst/>
        </c:spPr>
        <c:marker>
          <c:symbol val="circle"/>
          <c:size val="5"/>
          <c:spPr>
            <a:solidFill>
              <a:srgbClr val="1B2A49"/>
            </a:solidFill>
            <a:ln w="9525">
              <a:solidFill>
                <a:srgbClr val="1B2A49">
                  <a:alpha val="99000"/>
                </a:srgbClr>
              </a:solidFill>
              <a:headEnd type="oval" w="sm" len="sm"/>
              <a:tailEnd w="med" len="lg"/>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1B2A49"/>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 (Pvt)'!$M$11:$M$12</c:f>
              <c:strCache>
                <c:ptCount val="1"/>
                <c:pt idx="0">
                  <c:v>تم التسليم</c:v>
                </c:pt>
              </c:strCache>
            </c:strRef>
          </c:tx>
          <c:spPr>
            <a:ln w="28575" cap="rnd">
              <a:solidFill>
                <a:srgbClr val="C00000"/>
              </a:solidFill>
              <a:round/>
              <a:headEnd type="oval" w="lg" len="med"/>
              <a:tailEnd type="stealth" w="lg" len="med"/>
            </a:ln>
            <a:effectLst/>
          </c:spPr>
          <c:marker>
            <c:symbol val="circle"/>
            <c:size val="5"/>
            <c:spPr>
              <a:solidFill>
                <a:srgbClr val="1B2A49"/>
              </a:solidFill>
              <a:ln w="9525">
                <a:solidFill>
                  <a:srgbClr val="1B2A49">
                    <a:alpha val="99000"/>
                  </a:srgbClr>
                </a:solidFill>
                <a:headEnd type="oval" w="sm" len="sm"/>
                <a:tailEnd w="med" len="lg"/>
              </a:ln>
              <a:effectLst/>
            </c:spPr>
          </c:marker>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1B2A49"/>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(Pvt)'!$L$13:$L$19</c:f>
              <c:strCache>
                <c:ptCount val="6"/>
                <c:pt idx="0">
                  <c:v>Jul</c:v>
                </c:pt>
                <c:pt idx="1">
                  <c:v>Aug</c:v>
                </c:pt>
                <c:pt idx="2">
                  <c:v>Sep</c:v>
                </c:pt>
                <c:pt idx="3">
                  <c:v>Oct</c:v>
                </c:pt>
                <c:pt idx="4">
                  <c:v>Nov</c:v>
                </c:pt>
                <c:pt idx="5">
                  <c:v>Dec</c:v>
                </c:pt>
              </c:strCache>
            </c:strRef>
          </c:cat>
          <c:val>
            <c:numRef>
              <c:f>'Analysis (Pvt)'!$M$13:$M$19</c:f>
              <c:numCache>
                <c:formatCode>General</c:formatCode>
                <c:ptCount val="6"/>
                <c:pt idx="0">
                  <c:v>2</c:v>
                </c:pt>
                <c:pt idx="1">
                  <c:v>9</c:v>
                </c:pt>
                <c:pt idx="2">
                  <c:v>70</c:v>
                </c:pt>
                <c:pt idx="3">
                  <c:v>21</c:v>
                </c:pt>
                <c:pt idx="4">
                  <c:v>15</c:v>
                </c:pt>
                <c:pt idx="5">
                  <c:v>6</c:v>
                </c:pt>
              </c:numCache>
            </c:numRef>
          </c:val>
          <c:smooth val="1"/>
          <c:extLst>
            <c:ext xmlns:c16="http://schemas.microsoft.com/office/drawing/2014/chart" uri="{C3380CC4-5D6E-409C-BE32-E72D297353CC}">
              <c16:uniqueId val="{00000000-6DD6-4410-9D88-E1BAF810D7DF}"/>
            </c:ext>
          </c:extLst>
        </c:ser>
        <c:dLbls>
          <c:showLegendKey val="0"/>
          <c:showVal val="0"/>
          <c:showCatName val="0"/>
          <c:showSerName val="0"/>
          <c:showPercent val="0"/>
          <c:showBubbleSize val="0"/>
        </c:dLbls>
        <c:marker val="1"/>
        <c:smooth val="0"/>
        <c:axId val="968726224"/>
        <c:axId val="968725264"/>
      </c:lineChart>
      <c:catAx>
        <c:axId val="96872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1B2A49"/>
                </a:solidFill>
                <a:latin typeface="+mn-lt"/>
                <a:ea typeface="+mn-ea"/>
                <a:cs typeface="+mn-cs"/>
              </a:defRPr>
            </a:pPr>
            <a:endParaRPr lang="en-US"/>
          </a:p>
        </c:txPr>
        <c:crossAx val="968725264"/>
        <c:crosses val="autoZero"/>
        <c:auto val="1"/>
        <c:lblAlgn val="ctr"/>
        <c:lblOffset val="100"/>
        <c:noMultiLvlLbl val="0"/>
      </c:catAx>
      <c:valAx>
        <c:axId val="968725264"/>
        <c:scaling>
          <c:orientation val="minMax"/>
        </c:scaling>
        <c:delete val="1"/>
        <c:axPos val="l"/>
        <c:numFmt formatCode="General" sourceLinked="1"/>
        <c:majorTickMark val="none"/>
        <c:minorTickMark val="none"/>
        <c:tickLblPos val="nextTo"/>
        <c:crossAx val="9687262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'Analysis (Pvt)'!$Q$24</c:f>
              <c:strCache>
                <c:ptCount val="1"/>
              </c:strCache>
            </c:strRef>
          </c:tx>
          <c:spPr>
            <a:solidFill>
              <a:srgbClr val="1B2A49"/>
            </a:solidFill>
            <a:ln w="25400">
              <a:noFill/>
            </a:ln>
            <a:effectLst/>
          </c:spPr>
          <c:cat>
            <c:strRef>
              <c:f>'Analysis (Pvt)'!$P$25:$P$29</c:f>
              <c:strCache>
                <c:ptCount val="5"/>
                <c:pt idx="0">
                  <c:v>شيك هومز</c:v>
                </c:pt>
                <c:pt idx="1">
                  <c:v>تاكى</c:v>
                </c:pt>
                <c:pt idx="2">
                  <c:v>ساره</c:v>
                </c:pt>
                <c:pt idx="3">
                  <c:v>احمد</c:v>
                </c:pt>
                <c:pt idx="4">
                  <c:v>اوسكار راتن</c:v>
                </c:pt>
              </c:strCache>
            </c:strRef>
          </c:cat>
          <c:val>
            <c:numRef>
              <c:f>'Analysis (Pvt)'!$Q$25:$Q$29</c:f>
              <c:numCache>
                <c:formatCode>_-* #,##0_-;\-* #,##0_-;_-* "-"??_-;_-@_-</c:formatCode>
                <c:ptCount val="5"/>
                <c:pt idx="0">
                  <c:v>183895</c:v>
                </c:pt>
                <c:pt idx="1">
                  <c:v>82900</c:v>
                </c:pt>
                <c:pt idx="2">
                  <c:v>82009</c:v>
                </c:pt>
                <c:pt idx="3">
                  <c:v>60547</c:v>
                </c:pt>
                <c:pt idx="4">
                  <c:v>56371.91</c:v>
                </c:pt>
              </c:numCache>
            </c:numRef>
          </c:val>
          <c:extLst>
            <c:ext xmlns:c16="http://schemas.microsoft.com/office/drawing/2014/chart" uri="{C3380CC4-5D6E-409C-BE32-E72D297353CC}">
              <c16:uniqueId val="{00000000-F096-4289-9E18-0385B6E4A0C5}"/>
            </c:ext>
          </c:extLst>
        </c:ser>
        <c:dLbls>
          <c:showLegendKey val="0"/>
          <c:showVal val="0"/>
          <c:showCatName val="0"/>
          <c:showSerName val="0"/>
          <c:showPercent val="0"/>
          <c:showBubbleSize val="0"/>
        </c:dLbls>
        <c:axId val="528876672"/>
        <c:axId val="528357792"/>
      </c:areaChart>
      <c:catAx>
        <c:axId val="528876672"/>
        <c:scaling>
          <c:orientation val="minMax"/>
        </c:scaling>
        <c:delete val="1"/>
        <c:axPos val="b"/>
        <c:numFmt formatCode="General" sourceLinked="1"/>
        <c:majorTickMark val="out"/>
        <c:minorTickMark val="none"/>
        <c:tickLblPos val="nextTo"/>
        <c:crossAx val="528357792"/>
        <c:crosses val="autoZero"/>
        <c:auto val="1"/>
        <c:lblAlgn val="ctr"/>
        <c:lblOffset val="100"/>
        <c:noMultiLvlLbl val="0"/>
      </c:catAx>
      <c:valAx>
        <c:axId val="528357792"/>
        <c:scaling>
          <c:orientation val="minMax"/>
        </c:scaling>
        <c:delete val="1"/>
        <c:axPos val="l"/>
        <c:numFmt formatCode="_-* #,##0_-;\-* #,##0_-;_-* &quot;-&quot;??_-;_-@_-" sourceLinked="1"/>
        <c:majorTickMark val="none"/>
        <c:minorTickMark val="none"/>
        <c:tickLblPos val="nextTo"/>
        <c:crossAx val="52887667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2135553607946246E-2"/>
          <c:y val="6.4557917323709899E-2"/>
          <c:w val="0.93572889278410754"/>
          <c:h val="0.66628201191033087"/>
        </c:manualLayout>
      </c:layout>
      <c:barChart>
        <c:barDir val="col"/>
        <c:grouping val="clustered"/>
        <c:varyColors val="0"/>
        <c:ser>
          <c:idx val="0"/>
          <c:order val="0"/>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B2A49"/>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(Pvt)'!$U$22:$U$29</c:f>
              <c:strCache>
                <c:ptCount val="8"/>
                <c:pt idx="0">
                  <c:v>القاهرة</c:v>
                </c:pt>
                <c:pt idx="1">
                  <c:v>الجيزة</c:v>
                </c:pt>
                <c:pt idx="2">
                  <c:v>السويس</c:v>
                </c:pt>
                <c:pt idx="3">
                  <c:v>القليوبية</c:v>
                </c:pt>
                <c:pt idx="4">
                  <c:v>الإسكندرية</c:v>
                </c:pt>
                <c:pt idx="5">
                  <c:v>البحر الأحمر</c:v>
                </c:pt>
                <c:pt idx="6">
                  <c:v>مطروح</c:v>
                </c:pt>
                <c:pt idx="7">
                  <c:v>أسيوط</c:v>
                </c:pt>
              </c:strCache>
            </c:strRef>
          </c:cat>
          <c:val>
            <c:numRef>
              <c:f>'Analysis (Pvt)'!$V$22:$V$29</c:f>
              <c:numCache>
                <c:formatCode>_-* #,##0_-;\-* #,##0_-;_-* "-"??_-;_-@_-</c:formatCode>
                <c:ptCount val="8"/>
                <c:pt idx="0">
                  <c:v>79</c:v>
                </c:pt>
                <c:pt idx="1">
                  <c:v>26</c:v>
                </c:pt>
                <c:pt idx="2">
                  <c:v>9</c:v>
                </c:pt>
                <c:pt idx="3">
                  <c:v>7</c:v>
                </c:pt>
                <c:pt idx="4">
                  <c:v>15</c:v>
                </c:pt>
                <c:pt idx="5">
                  <c:v>5</c:v>
                </c:pt>
                <c:pt idx="6">
                  <c:v>3</c:v>
                </c:pt>
                <c:pt idx="7">
                  <c:v>2</c:v>
                </c:pt>
              </c:numCache>
            </c:numRef>
          </c:val>
          <c:extLst>
            <c:ext xmlns:c16="http://schemas.microsoft.com/office/drawing/2014/chart" uri="{C3380CC4-5D6E-409C-BE32-E72D297353CC}">
              <c16:uniqueId val="{00000000-1AFC-4138-8883-3D21E17EEAF9}"/>
            </c:ext>
          </c:extLst>
        </c:ser>
        <c:dLbls>
          <c:dLblPos val="outEnd"/>
          <c:showLegendKey val="0"/>
          <c:showVal val="1"/>
          <c:showCatName val="0"/>
          <c:showSerName val="0"/>
          <c:showPercent val="0"/>
          <c:showBubbleSize val="0"/>
        </c:dLbls>
        <c:gapWidth val="130"/>
        <c:overlap val="-27"/>
        <c:axId val="1384358000"/>
        <c:axId val="1384356560"/>
      </c:barChart>
      <c:catAx>
        <c:axId val="1384358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1B2A49"/>
                </a:solidFill>
                <a:latin typeface="+mn-lt"/>
                <a:ea typeface="+mn-ea"/>
                <a:cs typeface="+mn-cs"/>
              </a:defRPr>
            </a:pPr>
            <a:endParaRPr lang="en-US"/>
          </a:p>
        </c:txPr>
        <c:crossAx val="1384356560"/>
        <c:crosses val="autoZero"/>
        <c:auto val="1"/>
        <c:lblAlgn val="ctr"/>
        <c:lblOffset val="100"/>
        <c:noMultiLvlLbl val="0"/>
      </c:catAx>
      <c:valAx>
        <c:axId val="1384356560"/>
        <c:scaling>
          <c:orientation val="minMax"/>
        </c:scaling>
        <c:delete val="1"/>
        <c:axPos val="l"/>
        <c:numFmt formatCode="_-* #,##0_-;\-* #,##0_-;_-* &quot;-&quot;??_-;_-@_-" sourceLinked="1"/>
        <c:majorTickMark val="none"/>
        <c:minorTickMark val="none"/>
        <c:tickLblPos val="nextTo"/>
        <c:crossAx val="13843580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 (Pvt)'!$AA$16</c:f>
              <c:strCache>
                <c:ptCount val="1"/>
                <c:pt idx="0">
                  <c:v>Late</c:v>
                </c:pt>
              </c:strCache>
            </c:strRef>
          </c:tx>
          <c:dPt>
            <c:idx val="0"/>
            <c:bubble3D val="0"/>
            <c:spPr>
              <a:solidFill>
                <a:srgbClr val="1B2A49"/>
              </a:solidFill>
              <a:ln w="19050">
                <a:solidFill>
                  <a:schemeClr val="lt1"/>
                </a:solidFill>
              </a:ln>
              <a:effectLst/>
            </c:spPr>
            <c:extLst>
              <c:ext xmlns:c16="http://schemas.microsoft.com/office/drawing/2014/chart" uri="{C3380CC4-5D6E-409C-BE32-E72D297353CC}">
                <c16:uniqueId val="{00000001-CD25-4919-9864-7DA8ABF687BD}"/>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CD25-4919-9864-7DA8ABF687BD}"/>
              </c:ext>
            </c:extLst>
          </c:dPt>
          <c:val>
            <c:numRef>
              <c:f>'Analysis (Pvt)'!$AB$16:$AC$16</c:f>
              <c:numCache>
                <c:formatCode>0.00%</c:formatCode>
                <c:ptCount val="2"/>
                <c:pt idx="0">
                  <c:v>0.44</c:v>
                </c:pt>
                <c:pt idx="1">
                  <c:v>0.56000000000000005</c:v>
                </c:pt>
              </c:numCache>
            </c:numRef>
          </c:val>
          <c:extLst>
            <c:ext xmlns:c16="http://schemas.microsoft.com/office/drawing/2014/chart" uri="{C3380CC4-5D6E-409C-BE32-E72D297353CC}">
              <c16:uniqueId val="{00000004-CD25-4919-9864-7DA8ABF687B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 (Pvt)'!$AA$15</c:f>
              <c:strCache>
                <c:ptCount val="1"/>
                <c:pt idx="0">
                  <c:v>Cancelled</c:v>
                </c:pt>
              </c:strCache>
            </c:strRef>
          </c:tx>
          <c:dPt>
            <c:idx val="0"/>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1-A76C-4BDD-ABCA-1198974F73BD}"/>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A76C-4BDD-ABCA-1198974F73BD}"/>
              </c:ext>
            </c:extLst>
          </c:dPt>
          <c:val>
            <c:numRef>
              <c:f>'Analysis (Pvt)'!$AB$15:$AC$15</c:f>
              <c:numCache>
                <c:formatCode>0.00%</c:formatCode>
                <c:ptCount val="2"/>
                <c:pt idx="0">
                  <c:v>0.17599999999999999</c:v>
                </c:pt>
                <c:pt idx="1">
                  <c:v>0.82400000000000007</c:v>
                </c:pt>
              </c:numCache>
            </c:numRef>
          </c:val>
          <c:extLst>
            <c:ext xmlns:c16="http://schemas.microsoft.com/office/drawing/2014/chart" uri="{C3380CC4-5D6E-409C-BE32-E72D297353CC}">
              <c16:uniqueId val="{00000004-A76C-4BDD-ABCA-1198974F73B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 (Pvt)'!$AA$17</c:f>
              <c:strCache>
                <c:ptCount val="1"/>
                <c:pt idx="0">
                  <c:v>On Time</c:v>
                </c:pt>
              </c:strCache>
            </c:strRef>
          </c:tx>
          <c:dPt>
            <c:idx val="0"/>
            <c:bubble3D val="0"/>
            <c:spPr>
              <a:solidFill>
                <a:srgbClr val="C00000"/>
              </a:solidFill>
              <a:ln w="19050">
                <a:solidFill>
                  <a:schemeClr val="lt1"/>
                </a:solidFill>
              </a:ln>
              <a:effectLst/>
            </c:spPr>
            <c:extLst>
              <c:ext xmlns:c16="http://schemas.microsoft.com/office/drawing/2014/chart" uri="{C3380CC4-5D6E-409C-BE32-E72D297353CC}">
                <c16:uniqueId val="{00000001-F8B1-462D-9DB0-B3CDA90A435A}"/>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F8B1-462D-9DB0-B3CDA90A435A}"/>
              </c:ext>
            </c:extLst>
          </c:dPt>
          <c:val>
            <c:numRef>
              <c:f>'Analysis (Pvt)'!$AB$17:$AC$17</c:f>
              <c:numCache>
                <c:formatCode>0.00%</c:formatCode>
                <c:ptCount val="2"/>
                <c:pt idx="0">
                  <c:v>0.38400000000000001</c:v>
                </c:pt>
                <c:pt idx="1">
                  <c:v>0.61599999999999999</c:v>
                </c:pt>
              </c:numCache>
            </c:numRef>
          </c:val>
          <c:extLst>
            <c:ext xmlns:c16="http://schemas.microsoft.com/office/drawing/2014/chart" uri="{C3380CC4-5D6E-409C-BE32-E72D297353CC}">
              <c16:uniqueId val="{00000004-F8B1-462D-9DB0-B3CDA90A435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[MISUO Sales Dashboard.xlsm]Analysis (Pvt)!Total Sales by Platform</c:name>
    <c:fmtId val="2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1B2A4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263884929489931"/>
          <c:y val="0.17141533472318737"/>
          <c:w val="0.83261067837082392"/>
          <c:h val="0.77762334954829748"/>
        </c:manualLayout>
      </c:layout>
      <c:barChart>
        <c:barDir val="bar"/>
        <c:grouping val="clustered"/>
        <c:varyColors val="0"/>
        <c:ser>
          <c:idx val="0"/>
          <c:order val="0"/>
          <c:tx>
            <c:strRef>
              <c:f>'Analysis (Pvt)'!$AG$7</c:f>
              <c:strCache>
                <c:ptCount val="1"/>
                <c:pt idx="0">
                  <c:v>Total</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1B2A49"/>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(Pvt)'!$AF$8:$AF$16</c:f>
              <c:strCache>
                <c:ptCount val="8"/>
                <c:pt idx="0">
                  <c:v>كيمت</c:v>
                </c:pt>
                <c:pt idx="1">
                  <c:v>منزلى</c:v>
                </c:pt>
                <c:pt idx="2">
                  <c:v>فيس بوك</c:v>
                </c:pt>
                <c:pt idx="3">
                  <c:v>السويس</c:v>
                </c:pt>
                <c:pt idx="4">
                  <c:v>اوسكار ريتن</c:v>
                </c:pt>
                <c:pt idx="5">
                  <c:v>تاكى</c:v>
                </c:pt>
                <c:pt idx="6">
                  <c:v>شيك هومز</c:v>
                </c:pt>
                <c:pt idx="7">
                  <c:v>هومزمارت</c:v>
                </c:pt>
              </c:strCache>
            </c:strRef>
          </c:cat>
          <c:val>
            <c:numRef>
              <c:f>'Analysis (Pvt)'!$AG$8:$AG$16</c:f>
              <c:numCache>
                <c:formatCode>_-* #,##0_-;\-* #,##0_-;_-* "-"??_-;_-@_-</c:formatCode>
                <c:ptCount val="8"/>
                <c:pt idx="0">
                  <c:v>7396</c:v>
                </c:pt>
                <c:pt idx="1">
                  <c:v>9655</c:v>
                </c:pt>
                <c:pt idx="2">
                  <c:v>27150</c:v>
                </c:pt>
                <c:pt idx="3">
                  <c:v>33336.905400000003</c:v>
                </c:pt>
                <c:pt idx="4">
                  <c:v>68731.91</c:v>
                </c:pt>
                <c:pt idx="5">
                  <c:v>82900</c:v>
                </c:pt>
                <c:pt idx="6">
                  <c:v>194340</c:v>
                </c:pt>
                <c:pt idx="7">
                  <c:v>855137</c:v>
                </c:pt>
              </c:numCache>
            </c:numRef>
          </c:val>
          <c:extLst>
            <c:ext xmlns:c16="http://schemas.microsoft.com/office/drawing/2014/chart" uri="{C3380CC4-5D6E-409C-BE32-E72D297353CC}">
              <c16:uniqueId val="{00000000-D3D0-4003-BAB0-608DEFF76FB1}"/>
            </c:ext>
          </c:extLst>
        </c:ser>
        <c:dLbls>
          <c:dLblPos val="outEnd"/>
          <c:showLegendKey val="0"/>
          <c:showVal val="1"/>
          <c:showCatName val="0"/>
          <c:showSerName val="0"/>
          <c:showPercent val="0"/>
          <c:showBubbleSize val="0"/>
        </c:dLbls>
        <c:gapWidth val="65"/>
        <c:axId val="1965413871"/>
        <c:axId val="1965416751"/>
      </c:barChart>
      <c:catAx>
        <c:axId val="19654138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1B2A49"/>
                </a:solidFill>
                <a:latin typeface="+mn-lt"/>
                <a:ea typeface="+mn-ea"/>
                <a:cs typeface="+mn-cs"/>
              </a:defRPr>
            </a:pPr>
            <a:endParaRPr lang="en-US"/>
          </a:p>
        </c:txPr>
        <c:crossAx val="1965416751"/>
        <c:crosses val="autoZero"/>
        <c:auto val="1"/>
        <c:lblAlgn val="ctr"/>
        <c:lblOffset val="100"/>
        <c:noMultiLvlLbl val="0"/>
      </c:catAx>
      <c:valAx>
        <c:axId val="1965416751"/>
        <c:scaling>
          <c:orientation val="minMax"/>
        </c:scaling>
        <c:delete val="1"/>
        <c:axPos val="b"/>
        <c:numFmt formatCode="_-* #,##0_-;\-* #,##0_-;_-* &quot;-&quot;??_-;_-@_-" sourceLinked="1"/>
        <c:majorTickMark val="none"/>
        <c:minorTickMark val="none"/>
        <c:tickLblPos val="nextTo"/>
        <c:crossAx val="19654138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50" b="1" i="0" u="none" strike="noStrike" kern="1200" baseline="0">
                    <a:solidFill>
                      <a:srgbClr val="1B2A49"/>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'Analysis (Pvt)'!$AJ$21:$AJ$31</c15:sqref>
                  </c15:fullRef>
                </c:ext>
              </c:extLst>
              <c:f>'Analysis (Pvt)'!$AJ$21:$AJ$26</c:f>
              <c:strCache>
                <c:ptCount val="6"/>
                <c:pt idx="0">
                  <c:v>اسود</c:v>
                </c:pt>
                <c:pt idx="1">
                  <c:v>ابيض</c:v>
                </c:pt>
                <c:pt idx="2">
                  <c:v>رمادى</c:v>
                </c:pt>
                <c:pt idx="3">
                  <c:v>الوان</c:v>
                </c:pt>
                <c:pt idx="4">
                  <c:v>ازرق</c:v>
                </c:pt>
                <c:pt idx="5">
                  <c:v>بينك</c:v>
                </c:pt>
              </c:strCache>
            </c:strRef>
          </c:cat>
          <c:val>
            <c:numRef>
              <c:extLst>
                <c:ext xmlns:c15="http://schemas.microsoft.com/office/drawing/2012/chart" uri="{02D57815-91ED-43cb-92C2-25804820EDAC}">
                  <c15:fullRef>
                    <c15:sqref>'Analysis (Pvt)'!$AK$21:$AK$31</c15:sqref>
                  </c15:fullRef>
                </c:ext>
              </c:extLst>
              <c:f>'Analysis (Pvt)'!$AK$21:$AK$26</c:f>
              <c:numCache>
                <c:formatCode>_-* #,##0_-;\-* #,##0_-;_-* "-"??_-;_-@_-</c:formatCode>
                <c:ptCount val="6"/>
                <c:pt idx="0">
                  <c:v>499335</c:v>
                </c:pt>
                <c:pt idx="1">
                  <c:v>349898</c:v>
                </c:pt>
                <c:pt idx="2">
                  <c:v>104569</c:v>
                </c:pt>
                <c:pt idx="3">
                  <c:v>34099.910000000003</c:v>
                </c:pt>
                <c:pt idx="4">
                  <c:v>29771</c:v>
                </c:pt>
                <c:pt idx="5">
                  <c:v>25798</c:v>
                </c:pt>
              </c:numCache>
            </c:numRef>
          </c:val>
          <c:extLst>
            <c:ext xmlns:c16="http://schemas.microsoft.com/office/drawing/2014/chart" uri="{C3380CC4-5D6E-409C-BE32-E72D297353CC}">
              <c16:uniqueId val="{00000000-3FC5-469D-A4CB-B82E54BC25C2}"/>
            </c:ext>
          </c:extLst>
        </c:ser>
        <c:dLbls>
          <c:dLblPos val="outEnd"/>
          <c:showLegendKey val="0"/>
          <c:showVal val="1"/>
          <c:showCatName val="0"/>
          <c:showSerName val="0"/>
          <c:showPercent val="0"/>
          <c:showBubbleSize val="0"/>
        </c:dLbls>
        <c:gapWidth val="219"/>
        <c:overlap val="-27"/>
        <c:axId val="1260218992"/>
        <c:axId val="1260219472"/>
      </c:barChart>
      <c:catAx>
        <c:axId val="1260218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rgbClr val="1B2A49"/>
                </a:solidFill>
                <a:latin typeface="+mn-lt"/>
                <a:ea typeface="+mn-ea"/>
                <a:cs typeface="+mn-cs"/>
              </a:defRPr>
            </a:pPr>
            <a:endParaRPr lang="en-US"/>
          </a:p>
        </c:txPr>
        <c:crossAx val="1260219472"/>
        <c:crosses val="autoZero"/>
        <c:auto val="1"/>
        <c:lblAlgn val="ctr"/>
        <c:lblOffset val="100"/>
        <c:noMultiLvlLbl val="0"/>
      </c:catAx>
      <c:valAx>
        <c:axId val="1260219472"/>
        <c:scaling>
          <c:orientation val="minMax"/>
        </c:scaling>
        <c:delete val="1"/>
        <c:axPos val="l"/>
        <c:numFmt formatCode="_-* #,##0_-;\-* #,##0_-;_-* &quot;-&quot;??_-;_-@_-" sourceLinked="1"/>
        <c:majorTickMark val="none"/>
        <c:minorTickMark val="none"/>
        <c:tickLblPos val="nextTo"/>
        <c:crossAx val="126021899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551839434561315"/>
          <c:y val="0.25861079883230859"/>
          <c:w val="0.51584131307105507"/>
          <c:h val="0.43871239353606001"/>
        </c:manualLayout>
      </c:layout>
      <c:doughnutChart>
        <c:varyColors val="1"/>
        <c:ser>
          <c:idx val="0"/>
          <c:order val="0"/>
          <c:dPt>
            <c:idx val="0"/>
            <c:bubble3D val="0"/>
            <c:spPr>
              <a:solidFill>
                <a:srgbClr val="680000"/>
              </a:solidFill>
              <a:ln w="19050">
                <a:solidFill>
                  <a:schemeClr val="lt1"/>
                </a:solidFill>
              </a:ln>
              <a:effectLst/>
            </c:spPr>
            <c:extLst>
              <c:ext xmlns:c16="http://schemas.microsoft.com/office/drawing/2014/chart" uri="{C3380CC4-5D6E-409C-BE32-E72D297353CC}">
                <c16:uniqueId val="{00000001-F98D-4CFE-891A-8F860C79357B}"/>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F98D-4CFE-891A-8F860C79357B}"/>
              </c:ext>
            </c:extLst>
          </c:dPt>
          <c:dPt>
            <c:idx val="2"/>
            <c:bubble3D val="0"/>
            <c:spPr>
              <a:solidFill>
                <a:srgbClr val="FF2121"/>
              </a:solidFill>
              <a:ln w="19050">
                <a:solidFill>
                  <a:schemeClr val="lt1"/>
                </a:solidFill>
              </a:ln>
              <a:effectLst/>
            </c:spPr>
            <c:extLst>
              <c:ext xmlns:c16="http://schemas.microsoft.com/office/drawing/2014/chart" uri="{C3380CC4-5D6E-409C-BE32-E72D297353CC}">
                <c16:uniqueId val="{00000005-F98D-4CFE-891A-8F860C79357B}"/>
              </c:ext>
            </c:extLst>
          </c:dPt>
          <c:dPt>
            <c:idx val="3"/>
            <c:bubble3D val="0"/>
            <c:spPr>
              <a:solidFill>
                <a:srgbClr val="FF8F8F"/>
              </a:solidFill>
              <a:ln w="19050">
                <a:solidFill>
                  <a:schemeClr val="lt1"/>
                </a:solidFill>
              </a:ln>
              <a:effectLst/>
            </c:spPr>
            <c:extLst>
              <c:ext xmlns:c16="http://schemas.microsoft.com/office/drawing/2014/chart" uri="{C3380CC4-5D6E-409C-BE32-E72D297353CC}">
                <c16:uniqueId val="{00000007-F98D-4CFE-891A-8F860C79357B}"/>
              </c:ext>
            </c:extLst>
          </c:dPt>
          <c:dLbls>
            <c:dLbl>
              <c:idx val="0"/>
              <c:layout>
                <c:manualLayout>
                  <c:x val="7.1474983755685506E-2"/>
                  <c:y val="0.1355422222520879"/>
                </c:manualLayout>
              </c:layout>
              <c:spPr>
                <a:noFill/>
                <a:ln>
                  <a:noFill/>
                </a:ln>
                <a:effectLst/>
              </c:spPr>
              <c:txPr>
                <a:bodyPr rot="0" spcFirstLastPara="1" vertOverflow="ellipsis" vert="horz" wrap="square" lIns="38100" tIns="19050" rIns="38100" bIns="19050" anchor="ctr" anchorCtr="1">
                  <a:spAutoFit/>
                </a:bodyPr>
                <a:lstStyle/>
                <a:p>
                  <a:pPr>
                    <a:defRPr sz="950" b="1" i="0" u="none" strike="noStrike" kern="1200" baseline="0">
                      <a:solidFill>
                        <a:srgbClr val="68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98D-4CFE-891A-8F860C79357B}"/>
                </c:ext>
              </c:extLst>
            </c:dLbl>
            <c:dLbl>
              <c:idx val="1"/>
              <c:layout>
                <c:manualLayout>
                  <c:x val="-0.12345679012345678"/>
                  <c:y val="-9.0361481501391991E-2"/>
                </c:manualLayout>
              </c:layout>
              <c:spPr>
                <a:noFill/>
                <a:ln>
                  <a:noFill/>
                </a:ln>
                <a:effectLst/>
              </c:spPr>
              <c:txPr>
                <a:bodyPr rot="0" spcFirstLastPara="1" vertOverflow="ellipsis" vert="horz" wrap="square" lIns="38100" tIns="19050" rIns="38100" bIns="19050" anchor="ctr" anchorCtr="1">
                  <a:spAutoFit/>
                </a:bodyPr>
                <a:lstStyle/>
                <a:p>
                  <a:pPr>
                    <a:defRPr sz="950" b="1"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98D-4CFE-891A-8F860C79357B}"/>
                </c:ext>
              </c:extLst>
            </c:dLbl>
            <c:dLbl>
              <c:idx val="2"/>
              <c:layout>
                <c:manualLayout>
                  <c:x val="-9.7465886939571145E-2"/>
                  <c:y val="-0.13554222225208798"/>
                </c:manualLayout>
              </c:layout>
              <c:spPr>
                <a:noFill/>
                <a:ln>
                  <a:noFill/>
                </a:ln>
                <a:effectLst/>
              </c:spPr>
              <c:txPr>
                <a:bodyPr rot="0" spcFirstLastPara="1" vertOverflow="ellipsis" vert="horz" wrap="square" lIns="38100" tIns="19050" rIns="38100" bIns="19050" anchor="ctr" anchorCtr="1">
                  <a:spAutoFit/>
                </a:bodyPr>
                <a:lstStyle/>
                <a:p>
                  <a:pPr>
                    <a:defRPr sz="950" b="1" i="0" u="none" strike="noStrike" kern="1200" baseline="0">
                      <a:solidFill>
                        <a:srgbClr val="FF212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98D-4CFE-891A-8F860C79357B}"/>
                </c:ext>
              </c:extLst>
            </c:dLbl>
            <c:dLbl>
              <c:idx val="3"/>
              <c:layout>
                <c:manualLayout>
                  <c:x val="0.16894087069525665"/>
                  <c:y val="-0.13052213994645509"/>
                </c:manualLayout>
              </c:layout>
              <c:spPr>
                <a:noFill/>
                <a:ln>
                  <a:noFill/>
                </a:ln>
                <a:effectLst/>
              </c:spPr>
              <c:txPr>
                <a:bodyPr rot="0" spcFirstLastPara="1" vertOverflow="ellipsis" vert="horz" wrap="square" lIns="38100" tIns="19050" rIns="38100" bIns="19050" anchor="ctr" anchorCtr="1">
                  <a:spAutoFit/>
                </a:bodyPr>
                <a:lstStyle/>
                <a:p>
                  <a:pPr>
                    <a:defRPr sz="950" b="1" i="0" u="none" strike="noStrike" kern="1200" baseline="0">
                      <a:solidFill>
                        <a:srgbClr val="FF8F8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98D-4CFE-891A-8F860C79357B}"/>
                </c:ext>
              </c:extLst>
            </c:dLbl>
            <c:spPr>
              <a:noFill/>
              <a:ln>
                <a:noFill/>
              </a:ln>
              <a:effectLst/>
            </c:spPr>
            <c:txPr>
              <a:bodyPr rot="0" spcFirstLastPara="1" vertOverflow="ellipsis" vert="horz" wrap="square" lIns="38100" tIns="19050" rIns="38100" bIns="19050" anchor="ctr" anchorCtr="1">
                <a:spAutoFit/>
              </a:bodyPr>
              <a:lstStyle/>
              <a:p>
                <a:pPr>
                  <a:defRPr sz="950" b="1" i="0" u="none" strike="noStrike" kern="1200" baseline="0">
                    <a:solidFill>
                      <a:srgbClr val="760000"/>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(Pvt)'!$C$19:$C$22</c:f>
              <c:strCache>
                <c:ptCount val="4"/>
                <c:pt idx="0">
                  <c:v>تم التسليم</c:v>
                </c:pt>
                <c:pt idx="1">
                  <c:v>ملغي</c:v>
                </c:pt>
                <c:pt idx="2">
                  <c:v>فشل التسليم</c:v>
                </c:pt>
                <c:pt idx="3">
                  <c:v>مرتجع</c:v>
                </c:pt>
              </c:strCache>
            </c:strRef>
          </c:cat>
          <c:val>
            <c:numRef>
              <c:f>'Analysis (Pvt)'!$D$19:$D$22</c:f>
              <c:numCache>
                <c:formatCode>0.00%</c:formatCode>
                <c:ptCount val="4"/>
                <c:pt idx="0">
                  <c:v>0.81599999999999995</c:v>
                </c:pt>
                <c:pt idx="1">
                  <c:v>0.16</c:v>
                </c:pt>
                <c:pt idx="2">
                  <c:v>1.6E-2</c:v>
                </c:pt>
                <c:pt idx="3">
                  <c:v>8.0000000000000002E-3</c:v>
                </c:pt>
              </c:numCache>
            </c:numRef>
          </c:val>
          <c:extLst>
            <c:ext xmlns:c16="http://schemas.microsoft.com/office/drawing/2014/chart" uri="{C3380CC4-5D6E-409C-BE32-E72D297353CC}">
              <c16:uniqueId val="{00000008-F98D-4CFE-891A-8F860C79357B}"/>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7506495908438968"/>
          <c:y val="0.24661929281573705"/>
          <c:w val="0.2903929457970158"/>
          <c:h val="0.41862939676988059"/>
        </c:manualLayout>
      </c:layout>
      <c:overlay val="0"/>
      <c:spPr>
        <a:noFill/>
        <a:ln>
          <a:noFill/>
        </a:ln>
        <a:effectLst/>
      </c:spPr>
      <c:txPr>
        <a:bodyPr rot="0" spcFirstLastPara="1" vertOverflow="ellipsis" vert="horz" wrap="square" anchor="ctr" anchorCtr="1"/>
        <a:lstStyle/>
        <a:p>
          <a:pPr>
            <a:defRPr sz="900" b="1" i="0" u="none" strike="noStrike" kern="1200" baseline="0">
              <a:solidFill>
                <a:srgbClr val="1B2A49"/>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 (Pvt)'!$R$23" lockText="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file>

<file path=xl/ctrlProps/ctrlProp4.xml><?xml version="1.0" encoding="utf-8"?>
<formControlPr xmlns="http://schemas.microsoft.com/office/spreadsheetml/2009/9/main" objectType="Radio"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chart" Target="../charts/chart7.xml"/><Relationship Id="rId18" Type="http://schemas.openxmlformats.org/officeDocument/2006/relationships/image" Target="../media/image9.png"/><Relationship Id="rId26" Type="http://schemas.openxmlformats.org/officeDocument/2006/relationships/image" Target="../media/image13.png"/><Relationship Id="rId3" Type="http://schemas.openxmlformats.org/officeDocument/2006/relationships/chart" Target="../charts/chart3.xml"/><Relationship Id="rId21" Type="http://schemas.openxmlformats.org/officeDocument/2006/relationships/chart" Target="../charts/chart12.xml"/><Relationship Id="rId7" Type="http://schemas.openxmlformats.org/officeDocument/2006/relationships/image" Target="../media/image4.svg"/><Relationship Id="rId12" Type="http://schemas.openxmlformats.org/officeDocument/2006/relationships/chart" Target="../charts/chart6.xml"/><Relationship Id="rId17" Type="http://schemas.openxmlformats.org/officeDocument/2006/relationships/image" Target="../media/image8.png"/><Relationship Id="rId25" Type="http://schemas.microsoft.com/office/2007/relationships/hdphoto" Target="../media/hdphoto1.wdp"/><Relationship Id="rId2" Type="http://schemas.openxmlformats.org/officeDocument/2006/relationships/chart" Target="../charts/chart2.xml"/><Relationship Id="rId16" Type="http://schemas.openxmlformats.org/officeDocument/2006/relationships/image" Target="../media/image7.png"/><Relationship Id="rId20" Type="http://schemas.openxmlformats.org/officeDocument/2006/relationships/chart" Target="../charts/chart11.xml"/><Relationship Id="rId1" Type="http://schemas.openxmlformats.org/officeDocument/2006/relationships/chart" Target="../charts/chart1.xml"/><Relationship Id="rId6" Type="http://schemas.openxmlformats.org/officeDocument/2006/relationships/image" Target="../media/image3.png"/><Relationship Id="rId11" Type="http://schemas.openxmlformats.org/officeDocument/2006/relationships/image" Target="../media/image6.svg"/><Relationship Id="rId24" Type="http://schemas.openxmlformats.org/officeDocument/2006/relationships/image" Target="../media/image12.png"/><Relationship Id="rId5" Type="http://schemas.openxmlformats.org/officeDocument/2006/relationships/image" Target="../media/image2.svg"/><Relationship Id="rId15" Type="http://schemas.openxmlformats.org/officeDocument/2006/relationships/chart" Target="../charts/chart9.xml"/><Relationship Id="rId23" Type="http://schemas.openxmlformats.org/officeDocument/2006/relationships/image" Target="../media/image11.png"/><Relationship Id="rId10" Type="http://schemas.openxmlformats.org/officeDocument/2006/relationships/image" Target="../media/image5.png"/><Relationship Id="rId19" Type="http://schemas.openxmlformats.org/officeDocument/2006/relationships/chart" Target="../charts/chart10.xml"/><Relationship Id="rId4" Type="http://schemas.openxmlformats.org/officeDocument/2006/relationships/image" Target="../media/image1.png"/><Relationship Id="rId9" Type="http://schemas.openxmlformats.org/officeDocument/2006/relationships/chart" Target="../charts/chart5.xml"/><Relationship Id="rId14" Type="http://schemas.openxmlformats.org/officeDocument/2006/relationships/chart" Target="../charts/chart8.xml"/><Relationship Id="rId22"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absolute">
    <xdr:from>
      <xdr:col>8</xdr:col>
      <xdr:colOff>207645</xdr:colOff>
      <xdr:row>16</xdr:row>
      <xdr:rowOff>175259</xdr:rowOff>
    </xdr:from>
    <xdr:to>
      <xdr:col>11</xdr:col>
      <xdr:colOff>495300</xdr:colOff>
      <xdr:row>33</xdr:row>
      <xdr:rowOff>19050</xdr:rowOff>
    </xdr:to>
    <xdr:sp macro="" textlink="">
      <xdr:nvSpPr>
        <xdr:cNvPr id="1032" name="Rectangle: Rounded Corners 1031">
          <a:extLst>
            <a:ext uri="{FF2B5EF4-FFF2-40B4-BE49-F238E27FC236}">
              <a16:creationId xmlns:a16="http://schemas.microsoft.com/office/drawing/2014/main" id="{1545A2DE-E7DC-406A-B7CF-F0105E83AF8E}"/>
            </a:ext>
          </a:extLst>
        </xdr:cNvPr>
        <xdr:cNvSpPr/>
      </xdr:nvSpPr>
      <xdr:spPr>
        <a:xfrm>
          <a:off x="12942570" y="4223384"/>
          <a:ext cx="2173605" cy="2920366"/>
        </a:xfrm>
        <a:prstGeom prst="roundRect">
          <a:avLst>
            <a:gd name="adj" fmla="val 3954"/>
          </a:avLst>
        </a:prstGeom>
        <a:solidFill>
          <a:schemeClr val="bg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0</xdr:colOff>
      <xdr:row>0</xdr:row>
      <xdr:rowOff>0</xdr:rowOff>
    </xdr:from>
    <xdr:to>
      <xdr:col>11</xdr:col>
      <xdr:colOff>485775</xdr:colOff>
      <xdr:row>33</xdr:row>
      <xdr:rowOff>19050</xdr:rowOff>
    </xdr:to>
    <xdr:grpSp>
      <xdr:nvGrpSpPr>
        <xdr:cNvPr id="62" name="Group 61">
          <a:extLst>
            <a:ext uri="{FF2B5EF4-FFF2-40B4-BE49-F238E27FC236}">
              <a16:creationId xmlns:a16="http://schemas.microsoft.com/office/drawing/2014/main" id="{DE7F27B1-3481-193B-7FAD-13C2BC2C3D55}"/>
            </a:ext>
          </a:extLst>
        </xdr:cNvPr>
        <xdr:cNvGrpSpPr/>
      </xdr:nvGrpSpPr>
      <xdr:grpSpPr>
        <a:xfrm>
          <a:off x="0" y="0"/>
          <a:ext cx="15104745" cy="7139940"/>
          <a:chOff x="0" y="0"/>
          <a:chExt cx="15106637" cy="7143772"/>
        </a:xfrm>
      </xdr:grpSpPr>
      <xdr:sp macro="" textlink="">
        <xdr:nvSpPr>
          <xdr:cNvPr id="58" name="Rectangle: Rounded Corners 57">
            <a:extLst>
              <a:ext uri="{FF2B5EF4-FFF2-40B4-BE49-F238E27FC236}">
                <a16:creationId xmlns:a16="http://schemas.microsoft.com/office/drawing/2014/main" id="{D263AB71-40DB-01DD-3536-86B77B782419}"/>
              </a:ext>
            </a:extLst>
          </xdr:cNvPr>
          <xdr:cNvSpPr/>
        </xdr:nvSpPr>
        <xdr:spPr>
          <a:xfrm>
            <a:off x="0" y="0"/>
            <a:ext cx="1624965" cy="7143772"/>
          </a:xfrm>
          <a:prstGeom prst="roundRect">
            <a:avLst/>
          </a:prstGeom>
          <a:solidFill>
            <a:srgbClr val="1B2A4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3" name="Rectangle: Rounded Corners 52">
            <a:extLst>
              <a:ext uri="{FF2B5EF4-FFF2-40B4-BE49-F238E27FC236}">
                <a16:creationId xmlns:a16="http://schemas.microsoft.com/office/drawing/2014/main" id="{E3C3AD03-1CF1-4CC3-873A-8204E3508FCB}"/>
              </a:ext>
            </a:extLst>
          </xdr:cNvPr>
          <xdr:cNvSpPr/>
        </xdr:nvSpPr>
        <xdr:spPr>
          <a:xfrm>
            <a:off x="1419225" y="0"/>
            <a:ext cx="13687412" cy="866776"/>
          </a:xfrm>
          <a:prstGeom prst="roundRect">
            <a:avLst/>
          </a:prstGeom>
          <a:solidFill>
            <a:srgbClr val="1B2A4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2</xdr:col>
      <xdr:colOff>266700</xdr:colOff>
      <xdr:row>2</xdr:row>
      <xdr:rowOff>266700</xdr:rowOff>
    </xdr:from>
    <xdr:to>
      <xdr:col>3</xdr:col>
      <xdr:colOff>281940</xdr:colOff>
      <xdr:row>4</xdr:row>
      <xdr:rowOff>19050</xdr:rowOff>
    </xdr:to>
    <xdr:sp macro="" textlink="">
      <xdr:nvSpPr>
        <xdr:cNvPr id="4" name="Rectangle: Rounded Corners 3">
          <a:extLst>
            <a:ext uri="{FF2B5EF4-FFF2-40B4-BE49-F238E27FC236}">
              <a16:creationId xmlns:a16="http://schemas.microsoft.com/office/drawing/2014/main" id="{2CFD407F-F14B-4D96-8BCE-2BFEEC61A0DB}"/>
            </a:ext>
          </a:extLst>
        </xdr:cNvPr>
        <xdr:cNvSpPr/>
      </xdr:nvSpPr>
      <xdr:spPr>
        <a:xfrm>
          <a:off x="1874520" y="678180"/>
          <a:ext cx="2005965" cy="666750"/>
        </a:xfrm>
        <a:prstGeom prst="roundRect">
          <a:avLst/>
        </a:prstGeom>
        <a:solidFill>
          <a:schemeClr val="bg1"/>
        </a:solidFill>
        <a:ln>
          <a:noFill/>
        </a:ln>
        <a:effectLst>
          <a:outerShdw blurRad="50800" dist="38100" dir="8100000" algn="tr" rotWithShape="0">
            <a:prstClr val="black">
              <a:alpha val="1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514826</xdr:colOff>
      <xdr:row>2</xdr:row>
      <xdr:rowOff>266700</xdr:rowOff>
    </xdr:from>
    <xdr:to>
      <xdr:col>4</xdr:col>
      <xdr:colOff>21431</xdr:colOff>
      <xdr:row>4</xdr:row>
      <xdr:rowOff>19050</xdr:rowOff>
    </xdr:to>
    <xdr:sp macro="" textlink="">
      <xdr:nvSpPr>
        <xdr:cNvPr id="5" name="Rectangle: Rounded Corners 4">
          <a:extLst>
            <a:ext uri="{FF2B5EF4-FFF2-40B4-BE49-F238E27FC236}">
              <a16:creationId xmlns:a16="http://schemas.microsoft.com/office/drawing/2014/main" id="{D996EE8B-8589-4BF4-B178-B60A65EF41F3}"/>
            </a:ext>
          </a:extLst>
        </xdr:cNvPr>
        <xdr:cNvSpPr/>
      </xdr:nvSpPr>
      <xdr:spPr>
        <a:xfrm>
          <a:off x="4120991" y="676275"/>
          <a:ext cx="2002155" cy="662940"/>
        </a:xfrm>
        <a:prstGeom prst="roundRect">
          <a:avLst/>
        </a:prstGeom>
        <a:solidFill>
          <a:schemeClr val="bg1"/>
        </a:solidFill>
        <a:ln>
          <a:noFill/>
        </a:ln>
        <a:effectLst>
          <a:outerShdw blurRad="50800" dist="38100" dir="8100000" algn="tr" rotWithShape="0">
            <a:prstClr val="black">
              <a:alpha val="1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246697</xdr:colOff>
      <xdr:row>2</xdr:row>
      <xdr:rowOff>266700</xdr:rowOff>
    </xdr:from>
    <xdr:to>
      <xdr:col>5</xdr:col>
      <xdr:colOff>20002</xdr:colOff>
      <xdr:row>4</xdr:row>
      <xdr:rowOff>19050</xdr:rowOff>
    </xdr:to>
    <xdr:sp macro="" textlink="">
      <xdr:nvSpPr>
        <xdr:cNvPr id="6" name="Rectangle: Rounded Corners 5">
          <a:extLst>
            <a:ext uri="{FF2B5EF4-FFF2-40B4-BE49-F238E27FC236}">
              <a16:creationId xmlns:a16="http://schemas.microsoft.com/office/drawing/2014/main" id="{126FDEA2-2115-4361-B1A2-77FA7559D583}"/>
            </a:ext>
          </a:extLst>
        </xdr:cNvPr>
        <xdr:cNvSpPr/>
      </xdr:nvSpPr>
      <xdr:spPr>
        <a:xfrm>
          <a:off x="6365557" y="678180"/>
          <a:ext cx="2013585" cy="666750"/>
        </a:xfrm>
        <a:prstGeom prst="roundRect">
          <a:avLst/>
        </a:prstGeom>
        <a:solidFill>
          <a:schemeClr val="bg1"/>
        </a:solidFill>
        <a:ln>
          <a:noFill/>
        </a:ln>
        <a:effectLst>
          <a:outerShdw blurRad="50800" dist="38100" dir="8100000" algn="tr" rotWithShape="0">
            <a:prstClr val="black">
              <a:alpha val="1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245268</xdr:colOff>
      <xdr:row>2</xdr:row>
      <xdr:rowOff>266700</xdr:rowOff>
    </xdr:from>
    <xdr:to>
      <xdr:col>5</xdr:col>
      <xdr:colOff>2188368</xdr:colOff>
      <xdr:row>4</xdr:row>
      <xdr:rowOff>19050</xdr:rowOff>
    </xdr:to>
    <xdr:sp macro="" textlink="">
      <xdr:nvSpPr>
        <xdr:cNvPr id="7" name="Rectangle: Rounded Corners 6">
          <a:extLst>
            <a:ext uri="{FF2B5EF4-FFF2-40B4-BE49-F238E27FC236}">
              <a16:creationId xmlns:a16="http://schemas.microsoft.com/office/drawing/2014/main" id="{3DA2E447-BF11-414C-BF8E-8DFB113FD91B}"/>
            </a:ext>
          </a:extLst>
        </xdr:cNvPr>
        <xdr:cNvSpPr/>
      </xdr:nvSpPr>
      <xdr:spPr>
        <a:xfrm>
          <a:off x="8610123" y="678180"/>
          <a:ext cx="1952625" cy="666750"/>
        </a:xfrm>
        <a:prstGeom prst="roundRect">
          <a:avLst/>
        </a:prstGeom>
        <a:solidFill>
          <a:schemeClr val="bg1"/>
        </a:solidFill>
        <a:ln>
          <a:noFill/>
        </a:ln>
        <a:effectLst>
          <a:outerShdw blurRad="50800" dist="38100" dir="8100000" algn="tr" rotWithShape="0">
            <a:prstClr val="black">
              <a:alpha val="1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209550</xdr:colOff>
      <xdr:row>2</xdr:row>
      <xdr:rowOff>266700</xdr:rowOff>
    </xdr:from>
    <xdr:to>
      <xdr:col>8</xdr:col>
      <xdr:colOff>129540</xdr:colOff>
      <xdr:row>4</xdr:row>
      <xdr:rowOff>19050</xdr:rowOff>
    </xdr:to>
    <xdr:sp macro="" textlink="">
      <xdr:nvSpPr>
        <xdr:cNvPr id="8" name="Rectangle: Rounded Corners 7">
          <a:extLst>
            <a:ext uri="{FF2B5EF4-FFF2-40B4-BE49-F238E27FC236}">
              <a16:creationId xmlns:a16="http://schemas.microsoft.com/office/drawing/2014/main" id="{FCF0A8CC-A4A6-4409-9E0B-87AC8EBC4FE0}"/>
            </a:ext>
          </a:extLst>
        </xdr:cNvPr>
        <xdr:cNvSpPr/>
      </xdr:nvSpPr>
      <xdr:spPr>
        <a:xfrm>
          <a:off x="10854690" y="678180"/>
          <a:ext cx="2009775" cy="666750"/>
        </a:xfrm>
        <a:prstGeom prst="roundRect">
          <a:avLst/>
        </a:prstGeom>
        <a:solidFill>
          <a:schemeClr val="bg1"/>
        </a:solidFill>
        <a:ln>
          <a:noFill/>
        </a:ln>
        <a:effectLst>
          <a:outerShdw blurRad="50800" dist="38100" dir="8100000" algn="tr" rotWithShape="0">
            <a:prstClr val="black">
              <a:alpha val="1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323850</xdr:colOff>
      <xdr:row>2</xdr:row>
      <xdr:rowOff>398145</xdr:rowOff>
    </xdr:from>
    <xdr:to>
      <xdr:col>2</xdr:col>
      <xdr:colOff>701040</xdr:colOff>
      <xdr:row>3</xdr:row>
      <xdr:rowOff>323850</xdr:rowOff>
    </xdr:to>
    <xdr:sp macro="" textlink="">
      <xdr:nvSpPr>
        <xdr:cNvPr id="9" name="Oval 8">
          <a:extLst>
            <a:ext uri="{FF2B5EF4-FFF2-40B4-BE49-F238E27FC236}">
              <a16:creationId xmlns:a16="http://schemas.microsoft.com/office/drawing/2014/main" id="{55352902-10B0-4B91-86C2-CEF946DFEE55}"/>
            </a:ext>
          </a:extLst>
        </xdr:cNvPr>
        <xdr:cNvSpPr/>
      </xdr:nvSpPr>
      <xdr:spPr>
        <a:xfrm>
          <a:off x="1931670" y="821055"/>
          <a:ext cx="371475" cy="371475"/>
        </a:xfrm>
        <a:prstGeom prst="ellipse">
          <a:avLst/>
        </a:prstGeom>
        <a:solidFill>
          <a:srgbClr val="1B2A49"/>
        </a:solidFill>
        <a:ln>
          <a:noFill/>
        </a:ln>
        <a:effectLst>
          <a:outerShdw blurRad="50800" dist="38100" algn="l" rotWithShape="0">
            <a:prstClr val="black">
              <a:alpha val="11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571500</xdr:colOff>
      <xdr:row>2</xdr:row>
      <xdr:rowOff>401955</xdr:rowOff>
    </xdr:from>
    <xdr:to>
      <xdr:col>3</xdr:col>
      <xdr:colOff>935355</xdr:colOff>
      <xdr:row>3</xdr:row>
      <xdr:rowOff>320040</xdr:rowOff>
    </xdr:to>
    <xdr:sp macro="" textlink="">
      <xdr:nvSpPr>
        <xdr:cNvPr id="10" name="Oval 9">
          <a:extLst>
            <a:ext uri="{FF2B5EF4-FFF2-40B4-BE49-F238E27FC236}">
              <a16:creationId xmlns:a16="http://schemas.microsoft.com/office/drawing/2014/main" id="{DB8ECD54-F3C5-4617-86E1-B67961BCD021}"/>
            </a:ext>
          </a:extLst>
        </xdr:cNvPr>
        <xdr:cNvSpPr/>
      </xdr:nvSpPr>
      <xdr:spPr>
        <a:xfrm>
          <a:off x="4181475" y="807720"/>
          <a:ext cx="360045" cy="382905"/>
        </a:xfrm>
        <a:prstGeom prst="ellipse">
          <a:avLst/>
        </a:prstGeom>
        <a:solidFill>
          <a:srgbClr val="1B2A49"/>
        </a:solidFill>
        <a:ln>
          <a:noFill/>
        </a:ln>
        <a:effectLst>
          <a:outerShdw blurRad="50800" dist="38100" algn="l" rotWithShape="0">
            <a:prstClr val="black">
              <a:alpha val="11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320040</xdr:colOff>
      <xdr:row>2</xdr:row>
      <xdr:rowOff>398145</xdr:rowOff>
    </xdr:from>
    <xdr:to>
      <xdr:col>4</xdr:col>
      <xdr:colOff>685800</xdr:colOff>
      <xdr:row>3</xdr:row>
      <xdr:rowOff>323850</xdr:rowOff>
    </xdr:to>
    <xdr:sp macro="" textlink="">
      <xdr:nvSpPr>
        <xdr:cNvPr id="11" name="Oval 10">
          <a:extLst>
            <a:ext uri="{FF2B5EF4-FFF2-40B4-BE49-F238E27FC236}">
              <a16:creationId xmlns:a16="http://schemas.microsoft.com/office/drawing/2014/main" id="{FABD9C8A-0D8C-453A-9D9D-3E31EF81B962}"/>
            </a:ext>
          </a:extLst>
        </xdr:cNvPr>
        <xdr:cNvSpPr/>
      </xdr:nvSpPr>
      <xdr:spPr>
        <a:xfrm>
          <a:off x="6417945" y="821055"/>
          <a:ext cx="371475" cy="371475"/>
        </a:xfrm>
        <a:prstGeom prst="ellipse">
          <a:avLst/>
        </a:prstGeom>
        <a:solidFill>
          <a:srgbClr val="1B2A49"/>
        </a:solidFill>
        <a:ln>
          <a:noFill/>
        </a:ln>
        <a:effectLst>
          <a:outerShdw blurRad="50800" dist="38100" algn="l" rotWithShape="0">
            <a:prstClr val="black">
              <a:alpha val="11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283845</xdr:colOff>
      <xdr:row>2</xdr:row>
      <xdr:rowOff>398145</xdr:rowOff>
    </xdr:from>
    <xdr:to>
      <xdr:col>5</xdr:col>
      <xdr:colOff>666750</xdr:colOff>
      <xdr:row>3</xdr:row>
      <xdr:rowOff>323850</xdr:rowOff>
    </xdr:to>
    <xdr:sp macro="" textlink="">
      <xdr:nvSpPr>
        <xdr:cNvPr id="12" name="Oval 11">
          <a:extLst>
            <a:ext uri="{FF2B5EF4-FFF2-40B4-BE49-F238E27FC236}">
              <a16:creationId xmlns:a16="http://schemas.microsoft.com/office/drawing/2014/main" id="{44B9A1D2-C5D9-4814-9199-4BBF387CC4A1}"/>
            </a:ext>
          </a:extLst>
        </xdr:cNvPr>
        <xdr:cNvSpPr/>
      </xdr:nvSpPr>
      <xdr:spPr>
        <a:xfrm>
          <a:off x="8669655" y="821055"/>
          <a:ext cx="371475" cy="371475"/>
        </a:xfrm>
        <a:prstGeom prst="ellipse">
          <a:avLst/>
        </a:prstGeom>
        <a:solidFill>
          <a:srgbClr val="1B2A49"/>
        </a:solidFill>
        <a:ln>
          <a:noFill/>
        </a:ln>
        <a:effectLst>
          <a:outerShdw blurRad="50800" dist="38100" algn="l" rotWithShape="0">
            <a:prstClr val="black">
              <a:alpha val="11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281940</xdr:colOff>
      <xdr:row>2</xdr:row>
      <xdr:rowOff>398145</xdr:rowOff>
    </xdr:from>
    <xdr:to>
      <xdr:col>6</xdr:col>
      <xdr:colOff>647700</xdr:colOff>
      <xdr:row>3</xdr:row>
      <xdr:rowOff>323850</xdr:rowOff>
    </xdr:to>
    <xdr:sp macro="" textlink="">
      <xdr:nvSpPr>
        <xdr:cNvPr id="13" name="Oval 12">
          <a:extLst>
            <a:ext uri="{FF2B5EF4-FFF2-40B4-BE49-F238E27FC236}">
              <a16:creationId xmlns:a16="http://schemas.microsoft.com/office/drawing/2014/main" id="{FFEA49F4-2C9E-4BCB-B7C9-35B5DB13FF8D}"/>
            </a:ext>
          </a:extLst>
        </xdr:cNvPr>
        <xdr:cNvSpPr/>
      </xdr:nvSpPr>
      <xdr:spPr>
        <a:xfrm>
          <a:off x="10925175" y="811530"/>
          <a:ext cx="361950" cy="375285"/>
        </a:xfrm>
        <a:prstGeom prst="ellipse">
          <a:avLst/>
        </a:prstGeom>
        <a:solidFill>
          <a:srgbClr val="1B2A49"/>
        </a:solidFill>
        <a:ln>
          <a:noFill/>
        </a:ln>
        <a:effectLst>
          <a:outerShdw blurRad="50800" dist="38100" algn="l" rotWithShape="0">
            <a:prstClr val="black">
              <a:alpha val="11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287655</xdr:colOff>
      <xdr:row>0</xdr:row>
      <xdr:rowOff>53340</xdr:rowOff>
    </xdr:from>
    <xdr:to>
      <xdr:col>3</xdr:col>
      <xdr:colOff>1638300</xdr:colOff>
      <xdr:row>2</xdr:row>
      <xdr:rowOff>97155</xdr:rowOff>
    </xdr:to>
    <xdr:sp macro="" textlink="">
      <xdr:nvSpPr>
        <xdr:cNvPr id="16" name="TextBox 15">
          <a:extLst>
            <a:ext uri="{FF2B5EF4-FFF2-40B4-BE49-F238E27FC236}">
              <a16:creationId xmlns:a16="http://schemas.microsoft.com/office/drawing/2014/main" id="{E2C103B1-EED6-48C6-8F93-70D9378CED26}"/>
            </a:ext>
          </a:extLst>
        </xdr:cNvPr>
        <xdr:cNvSpPr txBox="1"/>
      </xdr:nvSpPr>
      <xdr:spPr>
        <a:xfrm>
          <a:off x="1901190" y="57150"/>
          <a:ext cx="3347085" cy="4533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a:solidFill>
                <a:schemeClr val="bg1"/>
              </a:solidFill>
            </a:rPr>
            <a:t>MISUO</a:t>
          </a:r>
          <a:r>
            <a:rPr lang="en-US" sz="2800" baseline="0">
              <a:solidFill>
                <a:schemeClr val="bg1"/>
              </a:solidFill>
            </a:rPr>
            <a:t> Sales </a:t>
          </a:r>
          <a:r>
            <a:rPr lang="en-US" sz="2800" b="0" baseline="0">
              <a:solidFill>
                <a:schemeClr val="bg1"/>
              </a:solidFill>
            </a:rPr>
            <a:t>Analysis</a:t>
          </a:r>
          <a:endParaRPr lang="en-US" sz="2800" b="0">
            <a:solidFill>
              <a:schemeClr val="bg1"/>
            </a:solidFill>
          </a:endParaRPr>
        </a:p>
      </xdr:txBody>
    </xdr:sp>
    <xdr:clientData/>
  </xdr:twoCellAnchor>
  <xdr:twoCellAnchor editAs="absolute">
    <xdr:from>
      <xdr:col>2</xdr:col>
      <xdr:colOff>1049655</xdr:colOff>
      <xdr:row>2</xdr:row>
      <xdr:rowOff>320040</xdr:rowOff>
    </xdr:from>
    <xdr:to>
      <xdr:col>2</xdr:col>
      <xdr:colOff>1920240</xdr:colOff>
      <xdr:row>3</xdr:row>
      <xdr:rowOff>133350</xdr:rowOff>
    </xdr:to>
    <xdr:sp macro="" textlink="'Analysis (Pvt)'!$D$4">
      <xdr:nvSpPr>
        <xdr:cNvPr id="18" name="TextBox 17">
          <a:extLst>
            <a:ext uri="{FF2B5EF4-FFF2-40B4-BE49-F238E27FC236}">
              <a16:creationId xmlns:a16="http://schemas.microsoft.com/office/drawing/2014/main" id="{FAFEE3C6-4A80-43EF-BC0B-D807C079B4E9}"/>
            </a:ext>
          </a:extLst>
        </xdr:cNvPr>
        <xdr:cNvSpPr txBox="1"/>
      </xdr:nvSpPr>
      <xdr:spPr>
        <a:xfrm>
          <a:off x="2663190" y="733425"/>
          <a:ext cx="870585" cy="2628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CC69192B-2863-488D-A680-43B1AFA3522E}" type="TxLink">
            <a:rPr lang="en-US" sz="1100" b="0" i="0" u="none" strike="noStrike">
              <a:solidFill>
                <a:srgbClr val="1B2A49"/>
              </a:solidFill>
              <a:latin typeface="Calibri"/>
              <a:ea typeface="+mn-ea"/>
              <a:cs typeface="Calibri"/>
            </a:rPr>
            <a:pPr marL="0" indent="0"/>
            <a:t>Total Sales</a:t>
          </a:fld>
          <a:endParaRPr lang="en-US" sz="1100" b="0" i="0" u="none" strike="noStrike">
            <a:solidFill>
              <a:srgbClr val="1B2A49"/>
            </a:solidFill>
            <a:latin typeface="Calibri"/>
            <a:ea typeface="+mn-ea"/>
            <a:cs typeface="Calibri"/>
          </a:endParaRPr>
        </a:p>
      </xdr:txBody>
    </xdr:sp>
    <xdr:clientData/>
  </xdr:twoCellAnchor>
  <xdr:twoCellAnchor editAs="absolute">
    <xdr:from>
      <xdr:col>3</xdr:col>
      <xdr:colOff>1031558</xdr:colOff>
      <xdr:row>2</xdr:row>
      <xdr:rowOff>247650</xdr:rowOff>
    </xdr:from>
    <xdr:to>
      <xdr:col>3</xdr:col>
      <xdr:colOff>2190750</xdr:colOff>
      <xdr:row>3</xdr:row>
      <xdr:rowOff>53340</xdr:rowOff>
    </xdr:to>
    <xdr:sp macro="" textlink="'Analysis (Pvt)'!$H$4">
      <xdr:nvSpPr>
        <xdr:cNvPr id="19" name="TextBox 18">
          <a:extLst>
            <a:ext uri="{FF2B5EF4-FFF2-40B4-BE49-F238E27FC236}">
              <a16:creationId xmlns:a16="http://schemas.microsoft.com/office/drawing/2014/main" id="{9A218C97-126F-4AA1-BCA0-5C5BBDDBFD9C}"/>
            </a:ext>
          </a:extLst>
        </xdr:cNvPr>
        <xdr:cNvSpPr txBox="1"/>
      </xdr:nvSpPr>
      <xdr:spPr>
        <a:xfrm>
          <a:off x="4641533" y="657225"/>
          <a:ext cx="1159192" cy="2628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6B794066-C188-4FF9-A402-B2B5F8D4CDB4}" type="TxLink">
            <a:rPr lang="en-US" sz="1100" b="0" i="0" u="none" strike="noStrike">
              <a:solidFill>
                <a:srgbClr val="1B2A49"/>
              </a:solidFill>
              <a:latin typeface="Calibri"/>
              <a:ea typeface="+mn-ea"/>
              <a:cs typeface="Calibri"/>
            </a:rPr>
            <a:pPr marL="0" indent="0"/>
            <a:t>Total Customers</a:t>
          </a:fld>
          <a:endParaRPr lang="en-US" sz="1100" b="0" i="0" u="none" strike="noStrike">
            <a:solidFill>
              <a:srgbClr val="1B2A49"/>
            </a:solidFill>
            <a:latin typeface="Calibri"/>
            <a:ea typeface="+mn-ea"/>
            <a:cs typeface="Calibri"/>
          </a:endParaRPr>
        </a:p>
      </xdr:txBody>
    </xdr:sp>
    <xdr:clientData/>
  </xdr:twoCellAnchor>
  <xdr:twoCellAnchor editAs="absolute">
    <xdr:from>
      <xdr:col>4</xdr:col>
      <xdr:colOff>893446</xdr:colOff>
      <xdr:row>2</xdr:row>
      <xdr:rowOff>323850</xdr:rowOff>
    </xdr:from>
    <xdr:to>
      <xdr:col>4</xdr:col>
      <xdr:colOff>1925955</xdr:colOff>
      <xdr:row>3</xdr:row>
      <xdr:rowOff>129540</xdr:rowOff>
    </xdr:to>
    <xdr:sp macro="" textlink="'Analysis (Pvt)'!$E$4">
      <xdr:nvSpPr>
        <xdr:cNvPr id="20" name="TextBox 19">
          <a:extLst>
            <a:ext uri="{FF2B5EF4-FFF2-40B4-BE49-F238E27FC236}">
              <a16:creationId xmlns:a16="http://schemas.microsoft.com/office/drawing/2014/main" id="{D104D77A-468A-495F-B21E-672A30C69CB6}"/>
            </a:ext>
          </a:extLst>
        </xdr:cNvPr>
        <xdr:cNvSpPr txBox="1"/>
      </xdr:nvSpPr>
      <xdr:spPr>
        <a:xfrm>
          <a:off x="7008496" y="729615"/>
          <a:ext cx="1019174" cy="270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BEAA423F-2916-4DD1-BAF4-7E690A9397E3}" type="TxLink">
            <a:rPr lang="en-US" sz="1100" b="0" i="0" u="none" strike="noStrike">
              <a:solidFill>
                <a:srgbClr val="1B2A49"/>
              </a:solidFill>
              <a:latin typeface="Calibri"/>
              <a:ea typeface="+mn-ea"/>
              <a:cs typeface="Calibri"/>
            </a:rPr>
            <a:pPr marL="0" indent="0"/>
            <a:t>Average Sales</a:t>
          </a:fld>
          <a:endParaRPr lang="en-US" sz="1100" b="0" i="0" u="none" strike="noStrike">
            <a:solidFill>
              <a:srgbClr val="1B2A49"/>
            </a:solidFill>
            <a:latin typeface="Calibri"/>
            <a:ea typeface="+mn-ea"/>
            <a:cs typeface="Calibri"/>
          </a:endParaRPr>
        </a:p>
      </xdr:txBody>
    </xdr:sp>
    <xdr:clientData/>
  </xdr:twoCellAnchor>
  <xdr:twoCellAnchor editAs="absolute">
    <xdr:from>
      <xdr:col>5</xdr:col>
      <xdr:colOff>669609</xdr:colOff>
      <xdr:row>2</xdr:row>
      <xdr:rowOff>325279</xdr:rowOff>
    </xdr:from>
    <xdr:to>
      <xdr:col>5</xdr:col>
      <xdr:colOff>2078355</xdr:colOff>
      <xdr:row>3</xdr:row>
      <xdr:rowOff>130969</xdr:rowOff>
    </xdr:to>
    <xdr:sp macro="" textlink="'Analysis (Pvt)'!$F$4">
      <xdr:nvSpPr>
        <xdr:cNvPr id="21" name="TextBox 20">
          <a:extLst>
            <a:ext uri="{FF2B5EF4-FFF2-40B4-BE49-F238E27FC236}">
              <a16:creationId xmlns:a16="http://schemas.microsoft.com/office/drawing/2014/main" id="{3C5A96F0-E401-4CCB-AB62-E4FF79086870}"/>
            </a:ext>
          </a:extLst>
        </xdr:cNvPr>
        <xdr:cNvSpPr txBox="1"/>
      </xdr:nvSpPr>
      <xdr:spPr>
        <a:xfrm>
          <a:off x="9038274" y="725329"/>
          <a:ext cx="1408746" cy="264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68E091EC-F74F-4A91-9212-F35F5E0E0278}" type="TxLink">
            <a:rPr lang="en-US" sz="1100" b="0" i="0" u="none" strike="noStrike">
              <a:solidFill>
                <a:srgbClr val="1B2A49"/>
              </a:solidFill>
              <a:latin typeface="Calibri"/>
              <a:ea typeface="+mn-ea"/>
              <a:cs typeface="Calibri"/>
            </a:rPr>
            <a:pPr marL="0" indent="0"/>
            <a:t>Total Delivered Sales</a:t>
          </a:fld>
          <a:endParaRPr lang="en-US" sz="1100" b="0" i="0" u="none" strike="noStrike">
            <a:solidFill>
              <a:srgbClr val="1B2A49"/>
            </a:solidFill>
            <a:latin typeface="Calibri"/>
            <a:ea typeface="+mn-ea"/>
            <a:cs typeface="Calibri"/>
          </a:endParaRPr>
        </a:p>
      </xdr:txBody>
    </xdr:sp>
    <xdr:clientData/>
  </xdr:twoCellAnchor>
  <xdr:twoCellAnchor editAs="absolute">
    <xdr:from>
      <xdr:col>6</xdr:col>
      <xdr:colOff>630555</xdr:colOff>
      <xdr:row>2</xdr:row>
      <xdr:rowOff>324326</xdr:rowOff>
    </xdr:from>
    <xdr:to>
      <xdr:col>7</xdr:col>
      <xdr:colOff>590550</xdr:colOff>
      <xdr:row>3</xdr:row>
      <xdr:rowOff>133826</xdr:rowOff>
    </xdr:to>
    <xdr:sp macro="" textlink="'Analysis (Pvt)'!$B$4">
      <xdr:nvSpPr>
        <xdr:cNvPr id="22" name="TextBox 21">
          <a:extLst>
            <a:ext uri="{FF2B5EF4-FFF2-40B4-BE49-F238E27FC236}">
              <a16:creationId xmlns:a16="http://schemas.microsoft.com/office/drawing/2014/main" id="{F51A3FC5-AB28-4ADC-A92E-BBBB41613594}"/>
            </a:ext>
          </a:extLst>
        </xdr:cNvPr>
        <xdr:cNvSpPr txBox="1"/>
      </xdr:nvSpPr>
      <xdr:spPr>
        <a:xfrm>
          <a:off x="11277600" y="730091"/>
          <a:ext cx="141541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4C9BFE77-32B6-465A-984B-EA1FB9A93992}" type="TxLink">
            <a:rPr lang="en-US" sz="1100" b="0" i="0" u="none" strike="noStrike">
              <a:solidFill>
                <a:srgbClr val="1B2A49"/>
              </a:solidFill>
              <a:latin typeface="Calibri"/>
              <a:ea typeface="+mn-ea"/>
              <a:cs typeface="Calibri"/>
            </a:rPr>
            <a:pPr marL="0" indent="0"/>
            <a:t>Unique Products Sold</a:t>
          </a:fld>
          <a:endParaRPr lang="en-US" sz="1100" b="0" i="0" u="none" strike="noStrike">
            <a:solidFill>
              <a:srgbClr val="1B2A49"/>
            </a:solidFill>
            <a:latin typeface="Calibri"/>
            <a:ea typeface="+mn-ea"/>
            <a:cs typeface="Calibri"/>
          </a:endParaRPr>
        </a:p>
      </xdr:txBody>
    </xdr:sp>
    <xdr:clientData/>
  </xdr:twoCellAnchor>
  <xdr:twoCellAnchor editAs="absolute">
    <xdr:from>
      <xdr:col>2</xdr:col>
      <xdr:colOff>664846</xdr:colOff>
      <xdr:row>3</xdr:row>
      <xdr:rowOff>91440</xdr:rowOff>
    </xdr:from>
    <xdr:to>
      <xdr:col>3</xdr:col>
      <xdr:colOff>167641</xdr:colOff>
      <xdr:row>3</xdr:row>
      <xdr:rowOff>321945</xdr:rowOff>
    </xdr:to>
    <xdr:sp macro="" textlink="'Analysis (Pvt)'!$D$5">
      <xdr:nvSpPr>
        <xdr:cNvPr id="23" name="TextBox 22">
          <a:extLst>
            <a:ext uri="{FF2B5EF4-FFF2-40B4-BE49-F238E27FC236}">
              <a16:creationId xmlns:a16="http://schemas.microsoft.com/office/drawing/2014/main" id="{394FC305-745E-46A2-B44F-D0EC3048309A}"/>
            </a:ext>
          </a:extLst>
        </xdr:cNvPr>
        <xdr:cNvSpPr txBox="1"/>
      </xdr:nvSpPr>
      <xdr:spPr>
        <a:xfrm>
          <a:off x="2274571" y="952500"/>
          <a:ext cx="1503045"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BCBB15A-77BA-4B89-AEFF-1491AB510AE9}" type="TxLink">
            <a:rPr lang="en-US" sz="1800" b="1" i="0" u="none" strike="noStrike">
              <a:solidFill>
                <a:srgbClr val="C00000"/>
              </a:solidFill>
              <a:latin typeface="Bahnschrift" panose="020B0502040204020203" pitchFamily="34" charset="0"/>
              <a:ea typeface="+mn-ea"/>
              <a:cs typeface="Calibri"/>
            </a:rPr>
            <a:pPr marL="0" indent="0" algn="ctr"/>
            <a:t> 1,278,647 </a:t>
          </a:fld>
          <a:endParaRPr lang="en-US" sz="1800" b="1" i="0" u="none" strike="noStrike">
            <a:solidFill>
              <a:srgbClr val="C00000"/>
            </a:solidFill>
            <a:latin typeface="Bahnschrift" panose="020B0502040204020203" pitchFamily="34" charset="0"/>
            <a:ea typeface="+mn-ea"/>
            <a:cs typeface="Calibri"/>
          </a:endParaRPr>
        </a:p>
      </xdr:txBody>
    </xdr:sp>
    <xdr:clientData/>
  </xdr:twoCellAnchor>
  <xdr:twoCellAnchor editAs="absolute">
    <xdr:from>
      <xdr:col>3</xdr:col>
      <xdr:colOff>1310640</xdr:colOff>
      <xdr:row>3</xdr:row>
      <xdr:rowOff>15240</xdr:rowOff>
    </xdr:from>
    <xdr:to>
      <xdr:col>3</xdr:col>
      <xdr:colOff>1809750</xdr:colOff>
      <xdr:row>3</xdr:row>
      <xdr:rowOff>247650</xdr:rowOff>
    </xdr:to>
    <xdr:sp macro="" textlink="'Analysis (Pvt)'!$H$5">
      <xdr:nvSpPr>
        <xdr:cNvPr id="24" name="TextBox 23">
          <a:extLst>
            <a:ext uri="{FF2B5EF4-FFF2-40B4-BE49-F238E27FC236}">
              <a16:creationId xmlns:a16="http://schemas.microsoft.com/office/drawing/2014/main" id="{661130D7-91FD-4C99-8D70-5083871B643F}"/>
            </a:ext>
          </a:extLst>
        </xdr:cNvPr>
        <xdr:cNvSpPr txBox="1"/>
      </xdr:nvSpPr>
      <xdr:spPr>
        <a:xfrm>
          <a:off x="4911090" y="876300"/>
          <a:ext cx="501015" cy="2266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BF02D30-C973-4BF5-A20C-3D284764627E}" type="TxLink">
            <a:rPr lang="en-US" sz="1600" b="1" i="0" u="none" strike="noStrike">
              <a:solidFill>
                <a:srgbClr val="C00000"/>
              </a:solidFill>
              <a:latin typeface="Bahnschrift" panose="020B0502040204020203" pitchFamily="34" charset="0"/>
              <a:ea typeface="+mn-ea"/>
              <a:cs typeface="Calibri"/>
            </a:rPr>
            <a:pPr marL="0" indent="0" algn="ctr"/>
            <a:t>73</a:t>
          </a:fld>
          <a:endParaRPr lang="en-US" sz="1600" b="1" i="0" u="none" strike="noStrike">
            <a:solidFill>
              <a:srgbClr val="C00000"/>
            </a:solidFill>
            <a:latin typeface="Bahnschrift" panose="020B0502040204020203" pitchFamily="34" charset="0"/>
            <a:ea typeface="+mn-ea"/>
            <a:cs typeface="Calibri"/>
          </a:endParaRPr>
        </a:p>
      </xdr:txBody>
    </xdr:sp>
    <xdr:clientData/>
  </xdr:twoCellAnchor>
  <xdr:twoCellAnchor editAs="absolute">
    <xdr:from>
      <xdr:col>4</xdr:col>
      <xdr:colOff>419100</xdr:colOff>
      <xdr:row>3</xdr:row>
      <xdr:rowOff>97155</xdr:rowOff>
    </xdr:from>
    <xdr:to>
      <xdr:col>4</xdr:col>
      <xdr:colOff>2186941</xdr:colOff>
      <xdr:row>3</xdr:row>
      <xdr:rowOff>321945</xdr:rowOff>
    </xdr:to>
    <xdr:sp macro="" textlink="'Analysis (Pvt)'!$E$5">
      <xdr:nvSpPr>
        <xdr:cNvPr id="25" name="TextBox 24">
          <a:extLst>
            <a:ext uri="{FF2B5EF4-FFF2-40B4-BE49-F238E27FC236}">
              <a16:creationId xmlns:a16="http://schemas.microsoft.com/office/drawing/2014/main" id="{C71C57D1-4D79-41C3-B391-19A1185ACDA1}"/>
            </a:ext>
          </a:extLst>
        </xdr:cNvPr>
        <xdr:cNvSpPr txBox="1"/>
      </xdr:nvSpPr>
      <xdr:spPr>
        <a:xfrm>
          <a:off x="6524625" y="963930"/>
          <a:ext cx="1767841" cy="224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A1D8AEB-6422-4298-AD4D-B3779C152F18}" type="TxLink">
            <a:rPr lang="en-US" sz="1800" b="1" i="0" u="none" strike="noStrike">
              <a:solidFill>
                <a:srgbClr val="C00000"/>
              </a:solidFill>
              <a:latin typeface="Bahnschrift" panose="020B0502040204020203" pitchFamily="34" charset="0"/>
              <a:ea typeface="+mn-ea"/>
              <a:cs typeface="Calibri"/>
            </a:rPr>
            <a:pPr marL="0" indent="0" algn="ctr"/>
            <a:t> 10,229 </a:t>
          </a:fld>
          <a:endParaRPr lang="en-US" sz="1800" b="1" i="0" u="none" strike="noStrike">
            <a:solidFill>
              <a:srgbClr val="C00000"/>
            </a:solidFill>
            <a:latin typeface="Bahnschrift" panose="020B0502040204020203" pitchFamily="34" charset="0"/>
            <a:ea typeface="+mn-ea"/>
            <a:cs typeface="Calibri"/>
          </a:endParaRPr>
        </a:p>
      </xdr:txBody>
    </xdr:sp>
    <xdr:clientData/>
  </xdr:twoCellAnchor>
  <xdr:twoCellAnchor editAs="absolute">
    <xdr:from>
      <xdr:col>5</xdr:col>
      <xdr:colOff>571500</xdr:colOff>
      <xdr:row>3</xdr:row>
      <xdr:rowOff>91440</xdr:rowOff>
    </xdr:from>
    <xdr:to>
      <xdr:col>5</xdr:col>
      <xdr:colOff>2099309</xdr:colOff>
      <xdr:row>3</xdr:row>
      <xdr:rowOff>339090</xdr:rowOff>
    </xdr:to>
    <xdr:sp macro="" textlink="'Analysis (Pvt)'!$F$5">
      <xdr:nvSpPr>
        <xdr:cNvPr id="26" name="TextBox 25">
          <a:extLst>
            <a:ext uri="{FF2B5EF4-FFF2-40B4-BE49-F238E27FC236}">
              <a16:creationId xmlns:a16="http://schemas.microsoft.com/office/drawing/2014/main" id="{66E649CA-BD42-45A8-ADF5-078419B1E5B6}"/>
            </a:ext>
          </a:extLst>
        </xdr:cNvPr>
        <xdr:cNvSpPr txBox="1"/>
      </xdr:nvSpPr>
      <xdr:spPr>
        <a:xfrm>
          <a:off x="8943975" y="954405"/>
          <a:ext cx="1527809"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F15B05B-C2AD-4D18-9641-06A04D532B1C}" type="TxLink">
            <a:rPr lang="en-US" sz="1800" b="1" i="0" u="none" strike="noStrike">
              <a:solidFill>
                <a:srgbClr val="C00000"/>
              </a:solidFill>
              <a:latin typeface="Bahnschrift" panose="020B0502040204020203" pitchFamily="34" charset="0"/>
              <a:ea typeface="+mn-ea"/>
              <a:cs typeface="Calibri"/>
            </a:rPr>
            <a:pPr marL="0" indent="0" algn="ctr"/>
            <a:t> 1,024,490 </a:t>
          </a:fld>
          <a:endParaRPr lang="en-US" sz="1800" b="1" i="0" u="none" strike="noStrike">
            <a:solidFill>
              <a:srgbClr val="C00000"/>
            </a:solidFill>
            <a:latin typeface="Bahnschrift" panose="020B0502040204020203" pitchFamily="34" charset="0"/>
            <a:ea typeface="+mn-ea"/>
            <a:cs typeface="Calibri"/>
          </a:endParaRPr>
        </a:p>
      </xdr:txBody>
    </xdr:sp>
    <xdr:clientData/>
  </xdr:twoCellAnchor>
  <xdr:twoCellAnchor editAs="absolute">
    <xdr:from>
      <xdr:col>6</xdr:col>
      <xdr:colOff>836295</xdr:colOff>
      <xdr:row>3</xdr:row>
      <xdr:rowOff>95250</xdr:rowOff>
    </xdr:from>
    <xdr:to>
      <xdr:col>7</xdr:col>
      <xdr:colOff>114300</xdr:colOff>
      <xdr:row>3</xdr:row>
      <xdr:rowOff>325755</xdr:rowOff>
    </xdr:to>
    <xdr:sp macro="" textlink="'Analysis (Pvt)'!$B$5">
      <xdr:nvSpPr>
        <xdr:cNvPr id="27" name="TextBox 26">
          <a:extLst>
            <a:ext uri="{FF2B5EF4-FFF2-40B4-BE49-F238E27FC236}">
              <a16:creationId xmlns:a16="http://schemas.microsoft.com/office/drawing/2014/main" id="{1F9EFC0A-25E3-409A-AE87-E2A6BA146524}"/>
            </a:ext>
          </a:extLst>
        </xdr:cNvPr>
        <xdr:cNvSpPr txBox="1"/>
      </xdr:nvSpPr>
      <xdr:spPr>
        <a:xfrm>
          <a:off x="11475720" y="948690"/>
          <a:ext cx="744855" cy="2400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2B99732-88E3-4443-8CC8-8147A53B5822}" type="TxLink">
            <a:rPr lang="en-US" sz="1800" b="1" i="0" u="none" strike="noStrike">
              <a:solidFill>
                <a:srgbClr val="C00000"/>
              </a:solidFill>
              <a:latin typeface="Bahnschrift" panose="020B0502040204020203" pitchFamily="34" charset="0"/>
              <a:ea typeface="+mn-ea"/>
              <a:cs typeface="Calibri"/>
            </a:rPr>
            <a:pPr marL="0" indent="0" algn="ctr"/>
            <a:t>125</a:t>
          </a:fld>
          <a:endParaRPr lang="en-US" sz="1800" b="1" i="0" u="none" strike="noStrike">
            <a:solidFill>
              <a:srgbClr val="C00000"/>
            </a:solidFill>
            <a:latin typeface="Bahnschrift" panose="020B0502040204020203" pitchFamily="34" charset="0"/>
            <a:ea typeface="+mn-ea"/>
            <a:cs typeface="Calibri"/>
          </a:endParaRPr>
        </a:p>
      </xdr:txBody>
    </xdr:sp>
    <xdr:clientData/>
  </xdr:twoCellAnchor>
  <xdr:twoCellAnchor editAs="absolute">
    <xdr:from>
      <xdr:col>2</xdr:col>
      <xdr:colOff>781050</xdr:colOff>
      <xdr:row>15</xdr:row>
      <xdr:rowOff>173354</xdr:rowOff>
    </xdr:from>
    <xdr:to>
      <xdr:col>4</xdr:col>
      <xdr:colOff>245745</xdr:colOff>
      <xdr:row>29</xdr:row>
      <xdr:rowOff>114299</xdr:rowOff>
    </xdr:to>
    <xdr:graphicFrame macro="">
      <xdr:nvGraphicFramePr>
        <xdr:cNvPr id="30" name="Chart 29">
          <a:extLst>
            <a:ext uri="{FF2B5EF4-FFF2-40B4-BE49-F238E27FC236}">
              <a16:creationId xmlns:a16="http://schemas.microsoft.com/office/drawing/2014/main" id="{253F1619-3D9E-4757-8E8C-559B4E91AF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1162049</xdr:colOff>
      <xdr:row>11</xdr:row>
      <xdr:rowOff>53340</xdr:rowOff>
    </xdr:from>
    <xdr:to>
      <xdr:col>6</xdr:col>
      <xdr:colOff>60959</xdr:colOff>
      <xdr:row>17</xdr:row>
      <xdr:rowOff>55216</xdr:rowOff>
    </xdr:to>
    <xdr:graphicFrame macro="">
      <xdr:nvGraphicFramePr>
        <xdr:cNvPr id="31" name="Chart 30">
          <a:extLst>
            <a:ext uri="{FF2B5EF4-FFF2-40B4-BE49-F238E27FC236}">
              <a16:creationId xmlns:a16="http://schemas.microsoft.com/office/drawing/2014/main" id="{6A733746-9032-4285-B309-45FFB48459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4</xdr:col>
      <xdr:colOff>746759</xdr:colOff>
      <xdr:row>25</xdr:row>
      <xdr:rowOff>59054</xdr:rowOff>
    </xdr:from>
    <xdr:to>
      <xdr:col>4</xdr:col>
      <xdr:colOff>1924049</xdr:colOff>
      <xdr:row>31</xdr:row>
      <xdr:rowOff>20829</xdr:rowOff>
    </xdr:to>
    <xdr:graphicFrame macro="">
      <xdr:nvGraphicFramePr>
        <xdr:cNvPr id="33" name="Chart 32">
          <a:extLst>
            <a:ext uri="{FF2B5EF4-FFF2-40B4-BE49-F238E27FC236}">
              <a16:creationId xmlns:a16="http://schemas.microsoft.com/office/drawing/2014/main" id="{9AAB199F-9761-4471-9DC3-1C2C7C8796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366750</xdr:colOff>
      <xdr:row>2</xdr:row>
      <xdr:rowOff>447675</xdr:rowOff>
    </xdr:from>
    <xdr:to>
      <xdr:col>2</xdr:col>
      <xdr:colOff>646404</xdr:colOff>
      <xdr:row>3</xdr:row>
      <xdr:rowOff>287274</xdr:rowOff>
    </xdr:to>
    <xdr:pic>
      <xdr:nvPicPr>
        <xdr:cNvPr id="63" name="Graphic 62" descr="Bar chart">
          <a:extLst>
            <a:ext uri="{FF2B5EF4-FFF2-40B4-BE49-F238E27FC236}">
              <a16:creationId xmlns:a16="http://schemas.microsoft.com/office/drawing/2014/main" id="{AD522FE3-F193-4CB1-956E-181019662A2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974570" y="859155"/>
          <a:ext cx="283464" cy="283464"/>
        </a:xfrm>
        <a:prstGeom prst="rect">
          <a:avLst/>
        </a:prstGeom>
        <a:effectLst>
          <a:outerShdw blurRad="63500" sx="102000" sy="102000" algn="ctr" rotWithShape="0">
            <a:prstClr val="black"/>
          </a:outerShdw>
        </a:effectLst>
      </xdr:spPr>
    </xdr:pic>
    <xdr:clientData/>
  </xdr:twoCellAnchor>
  <xdr:twoCellAnchor editAs="oneCell">
    <xdr:from>
      <xdr:col>5</xdr:col>
      <xdr:colOff>333375</xdr:colOff>
      <xdr:row>2</xdr:row>
      <xdr:rowOff>447675</xdr:rowOff>
    </xdr:from>
    <xdr:to>
      <xdr:col>5</xdr:col>
      <xdr:colOff>630174</xdr:colOff>
      <xdr:row>3</xdr:row>
      <xdr:rowOff>287274</xdr:rowOff>
    </xdr:to>
    <xdr:pic>
      <xdr:nvPicPr>
        <xdr:cNvPr id="1024" name="Graphic 1023" descr="Signal">
          <a:extLst>
            <a:ext uri="{FF2B5EF4-FFF2-40B4-BE49-F238E27FC236}">
              <a16:creationId xmlns:a16="http://schemas.microsoft.com/office/drawing/2014/main" id="{81895CB3-8D21-425C-9361-D864D8F27DD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8707755" y="859155"/>
          <a:ext cx="283464" cy="283464"/>
        </a:xfrm>
        <a:prstGeom prst="rect">
          <a:avLst/>
        </a:prstGeom>
        <a:effectLst>
          <a:outerShdw blurRad="63500" sx="102000" sy="102000" algn="ctr" rotWithShape="0">
            <a:prstClr val="black"/>
          </a:outerShdw>
        </a:effectLst>
      </xdr:spPr>
    </xdr:pic>
    <xdr:clientData/>
  </xdr:twoCellAnchor>
  <xdr:twoCellAnchor>
    <xdr:from>
      <xdr:col>2</xdr:col>
      <xdr:colOff>219077</xdr:colOff>
      <xdr:row>16</xdr:row>
      <xdr:rowOff>142874</xdr:rowOff>
    </xdr:from>
    <xdr:to>
      <xdr:col>4</xdr:col>
      <xdr:colOff>372864</xdr:colOff>
      <xdr:row>33</xdr:row>
      <xdr:rowOff>9524</xdr:rowOff>
    </xdr:to>
    <xdr:grpSp>
      <xdr:nvGrpSpPr>
        <xdr:cNvPr id="55" name="Group 54">
          <a:extLst>
            <a:ext uri="{FF2B5EF4-FFF2-40B4-BE49-F238E27FC236}">
              <a16:creationId xmlns:a16="http://schemas.microsoft.com/office/drawing/2014/main" id="{F4553D70-D9FF-9F56-A2ED-B42C0BDE332F}"/>
            </a:ext>
          </a:extLst>
        </xdr:cNvPr>
        <xdr:cNvGrpSpPr/>
      </xdr:nvGrpSpPr>
      <xdr:grpSpPr>
        <a:xfrm>
          <a:off x="1826897" y="4189094"/>
          <a:ext cx="4649587" cy="2947035"/>
          <a:chOff x="2178942" y="3968115"/>
          <a:chExt cx="4269483" cy="2945130"/>
        </a:xfrm>
      </xdr:grpSpPr>
      <xdr:sp macro="" textlink="">
        <xdr:nvSpPr>
          <xdr:cNvPr id="48" name="Rectangle: Rounded Corners 47">
            <a:extLst>
              <a:ext uri="{FF2B5EF4-FFF2-40B4-BE49-F238E27FC236}">
                <a16:creationId xmlns:a16="http://schemas.microsoft.com/office/drawing/2014/main" id="{61C335C3-F7EB-483D-BCDA-21DE6F407F0F}"/>
              </a:ext>
            </a:extLst>
          </xdr:cNvPr>
          <xdr:cNvSpPr/>
        </xdr:nvSpPr>
        <xdr:spPr>
          <a:xfrm>
            <a:off x="2196465" y="3968115"/>
            <a:ext cx="4251960" cy="2945130"/>
          </a:xfrm>
          <a:prstGeom prst="roundRect">
            <a:avLst/>
          </a:prstGeom>
          <a:solidFill>
            <a:schemeClr val="bg1"/>
          </a:solidFill>
          <a:ln>
            <a:noFill/>
          </a:ln>
          <a:effectLst>
            <a:outerShdw blurRad="50800" dist="38100" dir="8100000" algn="tr" rotWithShape="0">
              <a:prstClr val="black">
                <a:alpha val="1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051" name="Chart 1050">
            <a:extLst>
              <a:ext uri="{FF2B5EF4-FFF2-40B4-BE49-F238E27FC236}">
                <a16:creationId xmlns:a16="http://schemas.microsoft.com/office/drawing/2014/main" id="{23A162D7-0F13-49DB-AF26-D3D16727F970}"/>
              </a:ext>
            </a:extLst>
          </xdr:cNvPr>
          <xdr:cNvGraphicFramePr>
            <a:graphicFrameLocks/>
          </xdr:cNvGraphicFramePr>
        </xdr:nvGraphicFramePr>
        <xdr:xfrm>
          <a:off x="2178942" y="4044302"/>
          <a:ext cx="4259470" cy="2741295"/>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xdr:twoCellAnchor>
    <xdr:from>
      <xdr:col>8</xdr:col>
      <xdr:colOff>167640</xdr:colOff>
      <xdr:row>3</xdr:row>
      <xdr:rowOff>20955</xdr:rowOff>
    </xdr:from>
    <xdr:to>
      <xdr:col>11</xdr:col>
      <xdr:colOff>478155</xdr:colOff>
      <xdr:row>16</xdr:row>
      <xdr:rowOff>76200</xdr:rowOff>
    </xdr:to>
    <xdr:grpSp>
      <xdr:nvGrpSpPr>
        <xdr:cNvPr id="57" name="Group 56">
          <a:extLst>
            <a:ext uri="{FF2B5EF4-FFF2-40B4-BE49-F238E27FC236}">
              <a16:creationId xmlns:a16="http://schemas.microsoft.com/office/drawing/2014/main" id="{99D747F6-FA0A-3D11-3206-50E0BD94C84A}"/>
            </a:ext>
          </a:extLst>
        </xdr:cNvPr>
        <xdr:cNvGrpSpPr/>
      </xdr:nvGrpSpPr>
      <xdr:grpSpPr>
        <a:xfrm>
          <a:off x="12906375" y="883920"/>
          <a:ext cx="2188845" cy="3240405"/>
          <a:chOff x="13485495" y="1649730"/>
          <a:chExt cx="2211705" cy="3436619"/>
        </a:xfrm>
      </xdr:grpSpPr>
      <xdr:sp macro="" textlink="">
        <xdr:nvSpPr>
          <xdr:cNvPr id="1056" name="Rectangle: Rounded Corners 1055">
            <a:extLst>
              <a:ext uri="{FF2B5EF4-FFF2-40B4-BE49-F238E27FC236}">
                <a16:creationId xmlns:a16="http://schemas.microsoft.com/office/drawing/2014/main" id="{5AA976C7-8D3E-411B-8844-A68254B6FB88}"/>
              </a:ext>
            </a:extLst>
          </xdr:cNvPr>
          <xdr:cNvSpPr/>
        </xdr:nvSpPr>
        <xdr:spPr>
          <a:xfrm>
            <a:off x="13532485" y="1657349"/>
            <a:ext cx="2162175" cy="3429000"/>
          </a:xfrm>
          <a:prstGeom prst="roundRect">
            <a:avLst>
              <a:gd name="adj" fmla="val 3954"/>
            </a:avLst>
          </a:prstGeom>
          <a:solidFill>
            <a:schemeClr val="bg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aphicFrame macro="">
        <xdr:nvGraphicFramePr>
          <xdr:cNvPr id="1057" name="Chart 1056">
            <a:extLst>
              <a:ext uri="{FF2B5EF4-FFF2-40B4-BE49-F238E27FC236}">
                <a16:creationId xmlns:a16="http://schemas.microsoft.com/office/drawing/2014/main" id="{96264560-641C-4E38-8F9A-50959FBDF7DA}"/>
              </a:ext>
            </a:extLst>
          </xdr:cNvPr>
          <xdr:cNvGraphicFramePr>
            <a:graphicFrameLocks/>
          </xdr:cNvGraphicFramePr>
        </xdr:nvGraphicFramePr>
        <xdr:xfrm>
          <a:off x="13485495" y="2162175"/>
          <a:ext cx="2211705" cy="902970"/>
        </xdr:xfrm>
        <a:graphic>
          <a:graphicData uri="http://schemas.openxmlformats.org/drawingml/2006/chart">
            <c:chart xmlns:c="http://schemas.openxmlformats.org/drawingml/2006/chart" xmlns:r="http://schemas.openxmlformats.org/officeDocument/2006/relationships" r:id="rId9"/>
          </a:graphicData>
        </a:graphic>
      </xdr:graphicFrame>
      <xdr:sp macro="" textlink="'Analysis (Pvt)'!Q25">
        <xdr:nvSpPr>
          <xdr:cNvPr id="1058" name="TextBox 1057">
            <a:extLst>
              <a:ext uri="{FF2B5EF4-FFF2-40B4-BE49-F238E27FC236}">
                <a16:creationId xmlns:a16="http://schemas.microsoft.com/office/drawing/2014/main" id="{4D0B04D1-2B92-4097-B018-71098F8A6E8B}"/>
              </a:ext>
            </a:extLst>
          </xdr:cNvPr>
          <xdr:cNvSpPr txBox="1"/>
        </xdr:nvSpPr>
        <xdr:spPr>
          <a:xfrm>
            <a:off x="13485495" y="2990850"/>
            <a:ext cx="1221105" cy="2838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FA7FB04-3241-40C3-9A51-785D6D2C3305}" type="TxLink">
              <a:rPr lang="en-US" sz="1100" b="1" i="0" u="none" strike="noStrike">
                <a:solidFill>
                  <a:srgbClr val="C00000"/>
                </a:solidFill>
                <a:latin typeface="Calibri"/>
                <a:ea typeface="+mn-ea"/>
                <a:cs typeface="Calibri"/>
              </a:rPr>
              <a:pPr marL="0" indent="0"/>
              <a:t> 183,895 </a:t>
            </a:fld>
            <a:endParaRPr lang="en-US" sz="1100" b="1" i="0" u="none" strike="noStrike">
              <a:solidFill>
                <a:srgbClr val="C00000"/>
              </a:solidFill>
              <a:latin typeface="Calibri"/>
              <a:ea typeface="+mn-ea"/>
              <a:cs typeface="Calibri"/>
            </a:endParaRPr>
          </a:p>
        </xdr:txBody>
      </xdr:sp>
      <xdr:sp macro="" textlink="'Analysis (Pvt)'!Q26">
        <xdr:nvSpPr>
          <xdr:cNvPr id="1059" name="TextBox 1058">
            <a:extLst>
              <a:ext uri="{FF2B5EF4-FFF2-40B4-BE49-F238E27FC236}">
                <a16:creationId xmlns:a16="http://schemas.microsoft.com/office/drawing/2014/main" id="{893BD864-0380-44F6-845A-8EC984D53516}"/>
              </a:ext>
            </a:extLst>
          </xdr:cNvPr>
          <xdr:cNvSpPr txBox="1"/>
        </xdr:nvSpPr>
        <xdr:spPr>
          <a:xfrm>
            <a:off x="13485495" y="3415665"/>
            <a:ext cx="122110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C4C5EA3-126D-4B8C-988C-E792C2DF4188}" type="TxLink">
              <a:rPr lang="en-US" sz="1100" b="1" i="0" u="none" strike="noStrike">
                <a:solidFill>
                  <a:srgbClr val="C00000"/>
                </a:solidFill>
                <a:latin typeface="Calibri"/>
                <a:ea typeface="+mn-ea"/>
                <a:cs typeface="Calibri"/>
              </a:rPr>
              <a:pPr marL="0" indent="0"/>
              <a:t> 82,900 </a:t>
            </a:fld>
            <a:endParaRPr lang="en-US" sz="1100" b="1" i="0" u="none" strike="noStrike">
              <a:solidFill>
                <a:srgbClr val="C00000"/>
              </a:solidFill>
              <a:latin typeface="Calibri"/>
              <a:ea typeface="+mn-ea"/>
              <a:cs typeface="Calibri"/>
            </a:endParaRPr>
          </a:p>
        </xdr:txBody>
      </xdr:sp>
      <xdr:sp macro="" textlink="'Analysis (Pvt)'!Q27">
        <xdr:nvSpPr>
          <xdr:cNvPr id="1060" name="TextBox 1059">
            <a:extLst>
              <a:ext uri="{FF2B5EF4-FFF2-40B4-BE49-F238E27FC236}">
                <a16:creationId xmlns:a16="http://schemas.microsoft.com/office/drawing/2014/main" id="{FCAB403C-35F5-4F65-A4C0-C87A9308C1FE}"/>
              </a:ext>
            </a:extLst>
          </xdr:cNvPr>
          <xdr:cNvSpPr txBox="1"/>
        </xdr:nvSpPr>
        <xdr:spPr>
          <a:xfrm>
            <a:off x="13485495" y="3827145"/>
            <a:ext cx="1221105" cy="2838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AC91AE1-4986-4CF6-986D-B293D9E15982}" type="TxLink">
              <a:rPr lang="en-US" sz="1100" b="1" i="0" u="none" strike="noStrike">
                <a:solidFill>
                  <a:srgbClr val="C00000"/>
                </a:solidFill>
                <a:latin typeface="Calibri"/>
                <a:ea typeface="+mn-ea"/>
                <a:cs typeface="Calibri"/>
              </a:rPr>
              <a:pPr marL="0" indent="0"/>
              <a:t> 82,009 </a:t>
            </a:fld>
            <a:endParaRPr lang="en-US" sz="1100" b="1" i="0" u="none" strike="noStrike">
              <a:solidFill>
                <a:srgbClr val="C00000"/>
              </a:solidFill>
              <a:latin typeface="Calibri"/>
              <a:ea typeface="+mn-ea"/>
              <a:cs typeface="Calibri"/>
            </a:endParaRPr>
          </a:p>
        </xdr:txBody>
      </xdr:sp>
      <xdr:sp macro="" textlink="">
        <xdr:nvSpPr>
          <xdr:cNvPr id="1061" name="TextBox 1060">
            <a:extLst>
              <a:ext uri="{FF2B5EF4-FFF2-40B4-BE49-F238E27FC236}">
                <a16:creationId xmlns:a16="http://schemas.microsoft.com/office/drawing/2014/main" id="{8CD429C9-DD82-425C-BCC2-6F54A49597E5}"/>
              </a:ext>
            </a:extLst>
          </xdr:cNvPr>
          <xdr:cNvSpPr txBox="1"/>
        </xdr:nvSpPr>
        <xdr:spPr>
          <a:xfrm>
            <a:off x="13877925" y="1817149"/>
            <a:ext cx="1386840" cy="3028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baseline="0">
                <a:solidFill>
                  <a:schemeClr val="tx1">
                    <a:lumMod val="85000"/>
                    <a:lumOff val="15000"/>
                  </a:schemeClr>
                </a:solidFill>
              </a:rPr>
              <a:t>Custermers analysis</a:t>
            </a:r>
            <a:endParaRPr lang="en-US" sz="1100" b="1" i="1">
              <a:solidFill>
                <a:schemeClr val="tx1">
                  <a:lumMod val="85000"/>
                  <a:lumOff val="15000"/>
                </a:schemeClr>
              </a:solidFill>
            </a:endParaRPr>
          </a:p>
        </xdr:txBody>
      </xdr:sp>
      <mc:AlternateContent xmlns:mc="http://schemas.openxmlformats.org/markup-compatibility/2006">
        <mc:Choice xmlns:a14="http://schemas.microsoft.com/office/drawing/2010/main" Requires="a14">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400-000003040000}"/>
                  </a:ext>
                </a:extLst>
              </xdr:cNvPr>
              <xdr:cNvSpPr/>
            </xdr:nvSpPr>
            <xdr:spPr bwMode="auto">
              <a:xfrm>
                <a:off x="14037945" y="1649730"/>
                <a:ext cx="590550" cy="22288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High</a:t>
                </a:r>
              </a:p>
            </xdr:txBody>
          </xdr:sp>
        </mc:Choice>
        <mc:Fallback/>
      </mc:AlternateContent>
      <mc:AlternateContent xmlns:mc="http://schemas.openxmlformats.org/markup-compatibility/2006">
        <mc:Choice xmlns:a14="http://schemas.microsoft.com/office/drawing/2010/main" Requires="a14">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14476095" y="1649730"/>
                <a:ext cx="590550" cy="22288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Low</a:t>
                </a:r>
              </a:p>
            </xdr:txBody>
          </xdr:sp>
        </mc:Choice>
        <mc:Fallback/>
      </mc:AlternateContent>
      <xdr:sp macro="" textlink="'Analysis (Pvt)'!P35">
        <xdr:nvSpPr>
          <xdr:cNvPr id="1064" name="TextBox 1063">
            <a:extLst>
              <a:ext uri="{FF2B5EF4-FFF2-40B4-BE49-F238E27FC236}">
                <a16:creationId xmlns:a16="http://schemas.microsoft.com/office/drawing/2014/main" id="{03224A03-4721-4F08-82BD-72158FC33932}"/>
              </a:ext>
            </a:extLst>
          </xdr:cNvPr>
          <xdr:cNvSpPr txBox="1"/>
        </xdr:nvSpPr>
        <xdr:spPr>
          <a:xfrm>
            <a:off x="13561826" y="1990269"/>
            <a:ext cx="2076217" cy="4300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6192CC8-AB52-4047-9E8D-DFEBFEA0D3D2}" type="TxLink">
              <a:rPr lang="en-US" sz="1000" b="0" i="1" u="none" strike="noStrike">
                <a:solidFill>
                  <a:schemeClr val="tx1">
                    <a:lumMod val="75000"/>
                    <a:lumOff val="25000"/>
                  </a:schemeClr>
                </a:solidFill>
                <a:latin typeface="Calibri"/>
                <a:ea typeface="+mn-ea"/>
                <a:cs typeface="Calibri"/>
              </a:rPr>
              <a:pPr marL="0" indent="0" algn="ctr"/>
              <a:t>Showing TOP-5 profitable customers out of 73 customers</a:t>
            </a:fld>
            <a:endParaRPr lang="en-US" sz="1000" b="0" i="1" u="none" strike="noStrike">
              <a:solidFill>
                <a:schemeClr val="tx1">
                  <a:lumMod val="75000"/>
                  <a:lumOff val="25000"/>
                </a:schemeClr>
              </a:solidFill>
              <a:latin typeface="Calibri"/>
              <a:ea typeface="+mn-ea"/>
              <a:cs typeface="Calibri"/>
            </a:endParaRPr>
          </a:p>
        </xdr:txBody>
      </xdr:sp>
      <xdr:pic>
        <xdr:nvPicPr>
          <xdr:cNvPr id="1065" name="Graphic 1064" descr="Cowboy">
            <a:extLst>
              <a:ext uri="{FF2B5EF4-FFF2-40B4-BE49-F238E27FC236}">
                <a16:creationId xmlns:a16="http://schemas.microsoft.com/office/drawing/2014/main" id="{B44537A5-A2BD-4881-ADED-3A2A390B637C}"/>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3532625" y="1689240"/>
            <a:ext cx="347205" cy="345300"/>
          </a:xfrm>
          <a:prstGeom prst="rect">
            <a:avLst/>
          </a:prstGeom>
        </xdr:spPr>
      </xdr:pic>
      <xdr:sp macro="" textlink="">
        <xdr:nvSpPr>
          <xdr:cNvPr id="1066" name="Rectangle: Rounded Corners 1065">
            <a:extLst>
              <a:ext uri="{FF2B5EF4-FFF2-40B4-BE49-F238E27FC236}">
                <a16:creationId xmlns:a16="http://schemas.microsoft.com/office/drawing/2014/main" id="{7D5A5B45-4F88-4AE7-94D7-D71B53C4739B}"/>
              </a:ext>
            </a:extLst>
          </xdr:cNvPr>
          <xdr:cNvSpPr/>
        </xdr:nvSpPr>
        <xdr:spPr>
          <a:xfrm>
            <a:off x="15076170" y="3190875"/>
            <a:ext cx="409575" cy="49530"/>
          </a:xfrm>
          <a:prstGeom prst="roundRect">
            <a:avLst>
              <a:gd name="adj" fmla="val 50000"/>
            </a:avLst>
          </a:prstGeom>
          <a:solidFill>
            <a:srgbClr val="1B2A49">
              <a:alpha val="44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sp macro="" textlink="">
        <xdr:nvSpPr>
          <xdr:cNvPr id="1067" name="Rectangle: Rounded Corners 1066">
            <a:extLst>
              <a:ext uri="{FF2B5EF4-FFF2-40B4-BE49-F238E27FC236}">
                <a16:creationId xmlns:a16="http://schemas.microsoft.com/office/drawing/2014/main" id="{0008FF9D-D672-49A1-B050-FE46C5BC80AD}"/>
              </a:ext>
            </a:extLst>
          </xdr:cNvPr>
          <xdr:cNvSpPr/>
        </xdr:nvSpPr>
        <xdr:spPr>
          <a:xfrm>
            <a:off x="15076170" y="3602355"/>
            <a:ext cx="409575" cy="53340"/>
          </a:xfrm>
          <a:prstGeom prst="roundRect">
            <a:avLst>
              <a:gd name="adj" fmla="val 50000"/>
            </a:avLst>
          </a:prstGeom>
          <a:solidFill>
            <a:srgbClr val="1B2A49">
              <a:alpha val="44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68" name="Rectangle: Rounded Corners 1067">
            <a:extLst>
              <a:ext uri="{FF2B5EF4-FFF2-40B4-BE49-F238E27FC236}">
                <a16:creationId xmlns:a16="http://schemas.microsoft.com/office/drawing/2014/main" id="{B2753460-03A8-45C4-9047-02D3DAC17827}"/>
              </a:ext>
            </a:extLst>
          </xdr:cNvPr>
          <xdr:cNvSpPr/>
        </xdr:nvSpPr>
        <xdr:spPr>
          <a:xfrm>
            <a:off x="15060930" y="3998595"/>
            <a:ext cx="407670" cy="41910"/>
          </a:xfrm>
          <a:prstGeom prst="roundRect">
            <a:avLst>
              <a:gd name="adj" fmla="val 50000"/>
            </a:avLst>
          </a:prstGeom>
          <a:solidFill>
            <a:srgbClr val="1B2A49">
              <a:alpha val="44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Analysis (Pvt)'!Q28">
        <xdr:nvSpPr>
          <xdr:cNvPr id="2" name="TextBox 1">
            <a:extLst>
              <a:ext uri="{FF2B5EF4-FFF2-40B4-BE49-F238E27FC236}">
                <a16:creationId xmlns:a16="http://schemas.microsoft.com/office/drawing/2014/main" id="{0AE1135A-1615-4D66-83BB-CA911B62FCD9}"/>
              </a:ext>
            </a:extLst>
          </xdr:cNvPr>
          <xdr:cNvSpPr txBox="1"/>
        </xdr:nvSpPr>
        <xdr:spPr>
          <a:xfrm>
            <a:off x="13485495" y="4177665"/>
            <a:ext cx="1221105"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70BCFF1-F17A-42EE-AAC9-D099A8FCFAF2}" type="TxLink">
              <a:rPr lang="en-US" sz="1100" b="1" i="0" u="none" strike="noStrike">
                <a:solidFill>
                  <a:srgbClr val="C00000"/>
                </a:solidFill>
                <a:latin typeface="Calibri"/>
                <a:ea typeface="+mn-ea"/>
                <a:cs typeface="Calibri"/>
              </a:rPr>
              <a:pPr marL="0" indent="0"/>
              <a:t> 60,547 </a:t>
            </a:fld>
            <a:endParaRPr lang="en-US" sz="1100" b="1" i="0" u="none" strike="noStrike">
              <a:solidFill>
                <a:srgbClr val="C00000"/>
              </a:solidFill>
              <a:latin typeface="Calibri"/>
              <a:ea typeface="+mn-ea"/>
              <a:cs typeface="Calibri"/>
            </a:endParaRPr>
          </a:p>
        </xdr:txBody>
      </xdr:sp>
      <xdr:sp macro="" textlink="">
        <xdr:nvSpPr>
          <xdr:cNvPr id="17" name="Rectangle: Rounded Corners 16">
            <a:extLst>
              <a:ext uri="{FF2B5EF4-FFF2-40B4-BE49-F238E27FC236}">
                <a16:creationId xmlns:a16="http://schemas.microsoft.com/office/drawing/2014/main" id="{C5853CEA-570E-4467-BDC2-EC1C936012AA}"/>
              </a:ext>
            </a:extLst>
          </xdr:cNvPr>
          <xdr:cNvSpPr/>
        </xdr:nvSpPr>
        <xdr:spPr>
          <a:xfrm>
            <a:off x="15076170" y="4370070"/>
            <a:ext cx="409575" cy="47625"/>
          </a:xfrm>
          <a:prstGeom prst="roundRect">
            <a:avLst>
              <a:gd name="adj" fmla="val 50000"/>
            </a:avLst>
          </a:prstGeom>
          <a:solidFill>
            <a:srgbClr val="1B2A49">
              <a:alpha val="44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Analysis (Pvt)'!Q29">
        <xdr:nvSpPr>
          <xdr:cNvPr id="28" name="TextBox 27">
            <a:extLst>
              <a:ext uri="{FF2B5EF4-FFF2-40B4-BE49-F238E27FC236}">
                <a16:creationId xmlns:a16="http://schemas.microsoft.com/office/drawing/2014/main" id="{AA550A45-9410-4EA2-BC3B-D39262202243}"/>
              </a:ext>
            </a:extLst>
          </xdr:cNvPr>
          <xdr:cNvSpPr txBox="1"/>
        </xdr:nvSpPr>
        <xdr:spPr>
          <a:xfrm>
            <a:off x="13493115" y="4558665"/>
            <a:ext cx="1213485" cy="280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59A5758-F3C6-448E-BA9A-32AE27CD6950}" type="TxLink">
              <a:rPr lang="en-US" sz="1100" b="1" i="0" u="none" strike="noStrike">
                <a:solidFill>
                  <a:srgbClr val="C00000"/>
                </a:solidFill>
                <a:latin typeface="Calibri"/>
                <a:ea typeface="+mn-ea"/>
                <a:cs typeface="Calibri"/>
              </a:rPr>
              <a:pPr marL="0" indent="0"/>
              <a:t> 56,372 </a:t>
            </a:fld>
            <a:endParaRPr lang="en-US" sz="1100" b="1" i="0" u="none" strike="noStrike">
              <a:solidFill>
                <a:srgbClr val="C00000"/>
              </a:solidFill>
              <a:latin typeface="Calibri"/>
              <a:ea typeface="+mn-ea"/>
              <a:cs typeface="Calibri"/>
            </a:endParaRPr>
          </a:p>
        </xdr:txBody>
      </xdr:sp>
      <xdr:sp macro="" textlink="">
        <xdr:nvSpPr>
          <xdr:cNvPr id="29" name="Rectangle: Rounded Corners 28">
            <a:extLst>
              <a:ext uri="{FF2B5EF4-FFF2-40B4-BE49-F238E27FC236}">
                <a16:creationId xmlns:a16="http://schemas.microsoft.com/office/drawing/2014/main" id="{9704871B-068F-4835-B90C-931E334FBA5F}"/>
              </a:ext>
            </a:extLst>
          </xdr:cNvPr>
          <xdr:cNvSpPr/>
        </xdr:nvSpPr>
        <xdr:spPr>
          <a:xfrm>
            <a:off x="15078075" y="4726305"/>
            <a:ext cx="415290" cy="47625"/>
          </a:xfrm>
          <a:prstGeom prst="roundRect">
            <a:avLst>
              <a:gd name="adj" fmla="val 50000"/>
            </a:avLst>
          </a:prstGeom>
          <a:solidFill>
            <a:srgbClr val="1B2A49">
              <a:alpha val="44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Analysis (Pvt)'!P25">
        <xdr:nvSpPr>
          <xdr:cNvPr id="46" name="TextBox 45">
            <a:extLst>
              <a:ext uri="{FF2B5EF4-FFF2-40B4-BE49-F238E27FC236}">
                <a16:creationId xmlns:a16="http://schemas.microsoft.com/office/drawing/2014/main" id="{A5C8FAA6-B2AF-47B1-A181-23A7E708B236}"/>
              </a:ext>
            </a:extLst>
          </xdr:cNvPr>
          <xdr:cNvSpPr txBox="1"/>
        </xdr:nvSpPr>
        <xdr:spPr>
          <a:xfrm>
            <a:off x="13498830" y="3143250"/>
            <a:ext cx="73723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20A77D2-51C6-4B9B-9EA1-DF028E6B6A27}" type="TxLink">
              <a:rPr lang="ar-EG" sz="1100" b="1" i="0" u="none" strike="noStrike">
                <a:solidFill>
                  <a:srgbClr val="000000"/>
                </a:solidFill>
                <a:latin typeface="Calibri"/>
                <a:cs typeface="Calibri"/>
              </a:rPr>
              <a:pPr/>
              <a:t>شيك هومز</a:t>
            </a:fld>
            <a:endParaRPr lang="en-US" sz="1100" b="1" i="0" u="none" strike="noStrike">
              <a:solidFill>
                <a:schemeClr val="tx1">
                  <a:lumMod val="65000"/>
                  <a:lumOff val="35000"/>
                </a:schemeClr>
              </a:solidFill>
              <a:latin typeface="Calibri"/>
              <a:cs typeface="Calibri"/>
            </a:endParaRPr>
          </a:p>
        </xdr:txBody>
      </xdr:sp>
      <xdr:sp macro="" textlink="'Analysis (Pvt)'!P26">
        <xdr:nvSpPr>
          <xdr:cNvPr id="47" name="TextBox 46">
            <a:extLst>
              <a:ext uri="{FF2B5EF4-FFF2-40B4-BE49-F238E27FC236}">
                <a16:creationId xmlns:a16="http://schemas.microsoft.com/office/drawing/2014/main" id="{0F708091-1BF3-4545-8339-8694BAB2B089}"/>
              </a:ext>
            </a:extLst>
          </xdr:cNvPr>
          <xdr:cNvSpPr txBox="1"/>
        </xdr:nvSpPr>
        <xdr:spPr>
          <a:xfrm>
            <a:off x="13527405" y="3579495"/>
            <a:ext cx="53149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3F47880-9176-4234-8DF0-F8471DEC43C6}" type="TxLink">
              <a:rPr lang="ar-EG" sz="1100" b="1" i="0" u="none" strike="noStrike">
                <a:solidFill>
                  <a:srgbClr val="000000"/>
                </a:solidFill>
                <a:latin typeface="Calibri"/>
                <a:cs typeface="Calibri"/>
              </a:rPr>
              <a:pPr/>
              <a:t>تاكى</a:t>
            </a:fld>
            <a:endParaRPr lang="en-US" sz="1100" b="1" i="1">
              <a:solidFill>
                <a:schemeClr val="tx1">
                  <a:lumMod val="65000"/>
                  <a:lumOff val="35000"/>
                </a:schemeClr>
              </a:solidFill>
            </a:endParaRPr>
          </a:p>
        </xdr:txBody>
      </xdr:sp>
      <xdr:sp macro="" textlink="'Analysis (Pvt)'!P27">
        <xdr:nvSpPr>
          <xdr:cNvPr id="49" name="TextBox 48">
            <a:extLst>
              <a:ext uri="{FF2B5EF4-FFF2-40B4-BE49-F238E27FC236}">
                <a16:creationId xmlns:a16="http://schemas.microsoft.com/office/drawing/2014/main" id="{4AAEA614-D634-4A23-91CE-7EE2C877AB8E}"/>
              </a:ext>
            </a:extLst>
          </xdr:cNvPr>
          <xdr:cNvSpPr txBox="1"/>
        </xdr:nvSpPr>
        <xdr:spPr>
          <a:xfrm>
            <a:off x="13527405" y="3970020"/>
            <a:ext cx="569595" cy="287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203752-FA89-431E-8CFC-7CF13645513B}" type="TxLink">
              <a:rPr lang="ar-EG" sz="1100" b="1" i="0" u="none" strike="noStrike">
                <a:solidFill>
                  <a:srgbClr val="000000"/>
                </a:solidFill>
                <a:latin typeface="Calibri"/>
                <a:cs typeface="Calibri"/>
              </a:rPr>
              <a:pPr/>
              <a:t>ساره</a:t>
            </a:fld>
            <a:endParaRPr lang="en-US" sz="1100" b="1" i="1">
              <a:solidFill>
                <a:schemeClr val="tx1">
                  <a:lumMod val="65000"/>
                  <a:lumOff val="35000"/>
                </a:schemeClr>
              </a:solidFill>
            </a:endParaRPr>
          </a:p>
        </xdr:txBody>
      </xdr:sp>
      <xdr:sp macro="" textlink="'Analysis (Pvt)'!P28">
        <xdr:nvSpPr>
          <xdr:cNvPr id="50" name="TextBox 49">
            <a:extLst>
              <a:ext uri="{FF2B5EF4-FFF2-40B4-BE49-F238E27FC236}">
                <a16:creationId xmlns:a16="http://schemas.microsoft.com/office/drawing/2014/main" id="{D3A98A29-CD93-4830-AE23-9DFB76ABF516}"/>
              </a:ext>
            </a:extLst>
          </xdr:cNvPr>
          <xdr:cNvSpPr txBox="1"/>
        </xdr:nvSpPr>
        <xdr:spPr>
          <a:xfrm>
            <a:off x="13523595" y="4322445"/>
            <a:ext cx="60388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CD3ABC9-BB66-412C-9077-55F8401E7639}" type="TxLink">
              <a:rPr lang="ar-EG" sz="1100" b="1" i="0" u="none" strike="noStrike">
                <a:solidFill>
                  <a:srgbClr val="000000"/>
                </a:solidFill>
                <a:latin typeface="Calibri"/>
                <a:cs typeface="Calibri"/>
              </a:rPr>
              <a:pPr/>
              <a:t>احمد</a:t>
            </a:fld>
            <a:endParaRPr lang="en-US" sz="1100" b="1" i="1">
              <a:solidFill>
                <a:schemeClr val="tx1">
                  <a:lumMod val="65000"/>
                  <a:lumOff val="35000"/>
                </a:schemeClr>
              </a:solidFill>
            </a:endParaRPr>
          </a:p>
        </xdr:txBody>
      </xdr:sp>
      <xdr:sp macro="" textlink="'Analysis (Pvt)'!P29">
        <xdr:nvSpPr>
          <xdr:cNvPr id="54" name="TextBox 53">
            <a:extLst>
              <a:ext uri="{FF2B5EF4-FFF2-40B4-BE49-F238E27FC236}">
                <a16:creationId xmlns:a16="http://schemas.microsoft.com/office/drawing/2014/main" id="{80BD9492-BAB6-4541-8528-ED393CF5EC7F}"/>
              </a:ext>
            </a:extLst>
          </xdr:cNvPr>
          <xdr:cNvSpPr txBox="1"/>
        </xdr:nvSpPr>
        <xdr:spPr>
          <a:xfrm>
            <a:off x="13498831" y="4703445"/>
            <a:ext cx="742950" cy="3028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44F921B-1AF7-41F8-9979-D710C8E3ACA1}" type="TxLink">
              <a:rPr lang="ar-EG" sz="1100" b="1" i="0" u="none" strike="noStrike">
                <a:solidFill>
                  <a:srgbClr val="000000"/>
                </a:solidFill>
                <a:latin typeface="Calibri"/>
                <a:cs typeface="Calibri"/>
              </a:rPr>
              <a:pPr/>
              <a:t>اوسكار راتن</a:t>
            </a:fld>
            <a:endParaRPr lang="en-US" sz="1100" b="1" i="1">
              <a:solidFill>
                <a:schemeClr val="tx1">
                  <a:lumMod val="65000"/>
                  <a:lumOff val="35000"/>
                </a:schemeClr>
              </a:solidFill>
            </a:endParaRPr>
          </a:p>
        </xdr:txBody>
      </xdr:sp>
    </xdr:grpSp>
    <xdr:clientData/>
  </xdr:twoCellAnchor>
  <xdr:twoCellAnchor>
    <xdr:from>
      <xdr:col>2</xdr:col>
      <xdr:colOff>264797</xdr:colOff>
      <xdr:row>4</xdr:row>
      <xdr:rowOff>129540</xdr:rowOff>
    </xdr:from>
    <xdr:to>
      <xdr:col>4</xdr:col>
      <xdr:colOff>377192</xdr:colOff>
      <xdr:row>16</xdr:row>
      <xdr:rowOff>57826</xdr:rowOff>
    </xdr:to>
    <xdr:grpSp>
      <xdr:nvGrpSpPr>
        <xdr:cNvPr id="61" name="Group 60">
          <a:extLst>
            <a:ext uri="{FF2B5EF4-FFF2-40B4-BE49-F238E27FC236}">
              <a16:creationId xmlns:a16="http://schemas.microsoft.com/office/drawing/2014/main" id="{831B1C66-DE3C-8C05-AE5F-7D459EF883A0}"/>
            </a:ext>
          </a:extLst>
        </xdr:cNvPr>
        <xdr:cNvGrpSpPr/>
      </xdr:nvGrpSpPr>
      <xdr:grpSpPr>
        <a:xfrm>
          <a:off x="1874522" y="1457325"/>
          <a:ext cx="4608195" cy="2644816"/>
          <a:chOff x="1703070" y="1491615"/>
          <a:chExt cx="4608195" cy="2632709"/>
        </a:xfrm>
      </xdr:grpSpPr>
      <xdr:sp macro="" textlink="">
        <xdr:nvSpPr>
          <xdr:cNvPr id="56" name="Rectangle: Rounded Corners 55">
            <a:extLst>
              <a:ext uri="{FF2B5EF4-FFF2-40B4-BE49-F238E27FC236}">
                <a16:creationId xmlns:a16="http://schemas.microsoft.com/office/drawing/2014/main" id="{C674B29A-C1A6-491B-9CE6-4FCD85AB13A4}"/>
              </a:ext>
            </a:extLst>
          </xdr:cNvPr>
          <xdr:cNvSpPr/>
        </xdr:nvSpPr>
        <xdr:spPr>
          <a:xfrm>
            <a:off x="1703070" y="1491615"/>
            <a:ext cx="4608195" cy="2632709"/>
          </a:xfrm>
          <a:prstGeom prst="roundRect">
            <a:avLst/>
          </a:prstGeom>
          <a:solidFill>
            <a:schemeClr val="bg1"/>
          </a:solidFill>
          <a:ln>
            <a:noFill/>
          </a:ln>
          <a:effectLst>
            <a:outerShdw blurRad="50800" dist="38100" dir="8100000" algn="tr" rotWithShape="0">
              <a:prstClr val="black">
                <a:alpha val="1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59" name="Chart 58">
            <a:extLst>
              <a:ext uri="{FF2B5EF4-FFF2-40B4-BE49-F238E27FC236}">
                <a16:creationId xmlns:a16="http://schemas.microsoft.com/office/drawing/2014/main" id="{63877454-3B68-4954-8DCA-567D7871494D}"/>
              </a:ext>
            </a:extLst>
          </xdr:cNvPr>
          <xdr:cNvGraphicFramePr>
            <a:graphicFrameLocks/>
          </xdr:cNvGraphicFramePr>
        </xdr:nvGraphicFramePr>
        <xdr:xfrm>
          <a:off x="1824990" y="1760113"/>
          <a:ext cx="4339590" cy="2335776"/>
        </xdr:xfrm>
        <a:graphic>
          <a:graphicData uri="http://schemas.openxmlformats.org/drawingml/2006/chart">
            <c:chart xmlns:c="http://schemas.openxmlformats.org/drawingml/2006/chart" xmlns:r="http://schemas.openxmlformats.org/officeDocument/2006/relationships" r:id="rId12"/>
          </a:graphicData>
        </a:graphic>
      </xdr:graphicFrame>
      <xdr:sp macro="" textlink="'Analysis (Pvt)'!U32">
        <xdr:nvSpPr>
          <xdr:cNvPr id="60" name="TextBox 59">
            <a:extLst>
              <a:ext uri="{FF2B5EF4-FFF2-40B4-BE49-F238E27FC236}">
                <a16:creationId xmlns:a16="http://schemas.microsoft.com/office/drawing/2014/main" id="{819B6D11-BFBA-46C3-8A7F-0CEDBD4F9323}"/>
              </a:ext>
            </a:extLst>
          </xdr:cNvPr>
          <xdr:cNvSpPr txBox="1"/>
        </xdr:nvSpPr>
        <xdr:spPr>
          <a:xfrm>
            <a:off x="2779395" y="1649730"/>
            <a:ext cx="2333625" cy="452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265FD34-E498-437E-A27F-201A62996D59}" type="TxLink">
              <a:rPr lang="en-US" sz="1600" b="1" i="0" u="none" strike="noStrike">
                <a:solidFill>
                  <a:srgbClr val="1B2A49"/>
                </a:solidFill>
                <a:latin typeface="Calibri"/>
                <a:ea typeface="+mn-ea"/>
                <a:cs typeface="Calibri"/>
              </a:rPr>
              <a:pPr marL="0" indent="0" algn="ctr"/>
              <a:t>Total Orders By Area</a:t>
            </a:fld>
            <a:endParaRPr lang="en-US" sz="1600" b="1" i="1" u="none" strike="noStrike">
              <a:solidFill>
                <a:srgbClr val="1B2A49"/>
              </a:solidFill>
              <a:latin typeface="Calibri"/>
              <a:ea typeface="+mn-ea"/>
              <a:cs typeface="Calibri"/>
            </a:endParaRPr>
          </a:p>
        </xdr:txBody>
      </xdr:sp>
      <mc:AlternateContent xmlns:mc="http://schemas.openxmlformats.org/markup-compatibility/2006">
        <mc:Choice xmlns:a14="http://schemas.microsoft.com/office/drawing/2010/main" Requires="a14">
          <xdr:sp macro="" textlink="">
            <xdr:nvSpPr>
              <xdr:cNvPr id="1031" name="Option Button 7"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5454015" y="1840231"/>
                <a:ext cx="581025" cy="20383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Orders</a:t>
                </a:r>
              </a:p>
            </xdr:txBody>
          </xdr:sp>
        </mc:Choice>
        <mc:Fallback/>
      </mc:AlternateContent>
      <mc:AlternateContent xmlns:mc="http://schemas.openxmlformats.org/markup-compatibility/2006">
        <mc:Choice xmlns:a14="http://schemas.microsoft.com/office/drawing/2010/main" Requires="a14">
          <xdr:sp macro="" textlink="">
            <xdr:nvSpPr>
              <xdr:cNvPr id="1030" name="Option Button 6" descr="Sales&#10;"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5454016" y="1598594"/>
                <a:ext cx="556259" cy="30369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Sales</a:t>
                </a:r>
              </a:p>
            </xdr:txBody>
          </xdr:sp>
        </mc:Choice>
        <mc:Fallback/>
      </mc:AlternateContent>
    </xdr:grpSp>
    <xdr:clientData/>
  </xdr:twoCellAnchor>
  <xdr:twoCellAnchor>
    <xdr:from>
      <xdr:col>4</xdr:col>
      <xdr:colOff>569596</xdr:colOff>
      <xdr:row>4</xdr:row>
      <xdr:rowOff>129540</xdr:rowOff>
    </xdr:from>
    <xdr:to>
      <xdr:col>4</xdr:col>
      <xdr:colOff>1958340</xdr:colOff>
      <xdr:row>33</xdr:row>
      <xdr:rowOff>38100</xdr:rowOff>
    </xdr:to>
    <xdr:grpSp>
      <xdr:nvGrpSpPr>
        <xdr:cNvPr id="1071" name="Group 1070">
          <a:extLst>
            <a:ext uri="{FF2B5EF4-FFF2-40B4-BE49-F238E27FC236}">
              <a16:creationId xmlns:a16="http://schemas.microsoft.com/office/drawing/2014/main" id="{A213500E-A535-3763-3AA8-E5EE4AFB3DD4}"/>
            </a:ext>
          </a:extLst>
        </xdr:cNvPr>
        <xdr:cNvGrpSpPr/>
      </xdr:nvGrpSpPr>
      <xdr:grpSpPr>
        <a:xfrm>
          <a:off x="6675121" y="1457325"/>
          <a:ext cx="1392554" cy="5705475"/>
          <a:chOff x="8389621" y="1457325"/>
          <a:chExt cx="1381124" cy="5796927"/>
        </a:xfrm>
      </xdr:grpSpPr>
      <xdr:sp macro="" textlink="">
        <xdr:nvSpPr>
          <xdr:cNvPr id="1040" name="Rectangle: Rounded Corners 1039">
            <a:extLst>
              <a:ext uri="{FF2B5EF4-FFF2-40B4-BE49-F238E27FC236}">
                <a16:creationId xmlns:a16="http://schemas.microsoft.com/office/drawing/2014/main" id="{0B06AF08-9800-4E6F-932C-52C989114495}"/>
              </a:ext>
            </a:extLst>
          </xdr:cNvPr>
          <xdr:cNvSpPr/>
        </xdr:nvSpPr>
        <xdr:spPr>
          <a:xfrm>
            <a:off x="8431530" y="1457325"/>
            <a:ext cx="1296000" cy="5779649"/>
          </a:xfrm>
          <a:prstGeom prst="roundRect">
            <a:avLst/>
          </a:prstGeom>
          <a:solidFill>
            <a:schemeClr val="bg1"/>
          </a:solidFill>
          <a:ln>
            <a:noFill/>
          </a:ln>
          <a:effectLst>
            <a:outerShdw blurRad="50800" dist="38100" dir="8100000" algn="tr" rotWithShape="0">
              <a:prstClr val="black">
                <a:alpha val="1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041" name="Chart 1040">
            <a:extLst>
              <a:ext uri="{FF2B5EF4-FFF2-40B4-BE49-F238E27FC236}">
                <a16:creationId xmlns:a16="http://schemas.microsoft.com/office/drawing/2014/main" id="{C0D18DDD-D1DD-4C6B-84E7-FFA644D9C1DC}"/>
              </a:ext>
            </a:extLst>
          </xdr:cNvPr>
          <xdr:cNvGraphicFramePr>
            <a:graphicFrameLocks/>
          </xdr:cNvGraphicFramePr>
        </xdr:nvGraphicFramePr>
        <xdr:xfrm>
          <a:off x="8479154" y="4469129"/>
          <a:ext cx="1177290" cy="103486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042" name="Chart 1041">
            <a:extLst>
              <a:ext uri="{FF2B5EF4-FFF2-40B4-BE49-F238E27FC236}">
                <a16:creationId xmlns:a16="http://schemas.microsoft.com/office/drawing/2014/main" id="{F2C6DB4A-1699-4E58-AF57-E9CD383CB3DB}"/>
              </a:ext>
            </a:extLst>
          </xdr:cNvPr>
          <xdr:cNvGraphicFramePr>
            <a:graphicFrameLocks/>
          </xdr:cNvGraphicFramePr>
        </xdr:nvGraphicFramePr>
        <xdr:xfrm>
          <a:off x="8479154" y="5732144"/>
          <a:ext cx="1177290" cy="1059055"/>
        </xdr:xfrm>
        <a:graphic>
          <a:graphicData uri="http://schemas.openxmlformats.org/drawingml/2006/chart">
            <c:chart xmlns:c="http://schemas.openxmlformats.org/drawingml/2006/chart" xmlns:r="http://schemas.openxmlformats.org/officeDocument/2006/relationships" r:id="rId14"/>
          </a:graphicData>
        </a:graphic>
      </xdr:graphicFrame>
      <xdr:sp macro="" textlink="'Analysis (Pvt)'!C4">
        <xdr:nvSpPr>
          <xdr:cNvPr id="1043" name="TextBox 1042">
            <a:extLst>
              <a:ext uri="{FF2B5EF4-FFF2-40B4-BE49-F238E27FC236}">
                <a16:creationId xmlns:a16="http://schemas.microsoft.com/office/drawing/2014/main" id="{02087E59-C436-484B-89B9-086DF2DBAF93}"/>
              </a:ext>
            </a:extLst>
          </xdr:cNvPr>
          <xdr:cNvSpPr txBox="1"/>
        </xdr:nvSpPr>
        <xdr:spPr>
          <a:xfrm>
            <a:off x="8427719" y="1525904"/>
            <a:ext cx="1257300" cy="2659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C03DF85-BAD1-4222-A655-96AB4835BF63}" type="TxLink">
              <a:rPr lang="en-US" sz="1400" b="1" i="0" u="none" strike="noStrike">
                <a:solidFill>
                  <a:schemeClr val="tx1">
                    <a:lumMod val="50000"/>
                    <a:lumOff val="50000"/>
                  </a:schemeClr>
                </a:solidFill>
                <a:latin typeface="Calibri"/>
                <a:ea typeface="+mn-ea"/>
                <a:cs typeface="Calibri"/>
              </a:rPr>
              <a:pPr marL="0" indent="0" algn="ctr"/>
              <a:t>Total Orders</a:t>
            </a:fld>
            <a:endParaRPr lang="en-US" sz="1400" b="1" i="0" u="none" strike="noStrike">
              <a:solidFill>
                <a:schemeClr val="tx1">
                  <a:lumMod val="50000"/>
                  <a:lumOff val="50000"/>
                </a:schemeClr>
              </a:solidFill>
              <a:latin typeface="Calibri"/>
              <a:ea typeface="+mn-ea"/>
              <a:cs typeface="Calibri"/>
            </a:endParaRPr>
          </a:p>
        </xdr:txBody>
      </xdr:sp>
      <xdr:sp macro="" textlink="'Analysis (Pvt)'!C5">
        <xdr:nvSpPr>
          <xdr:cNvPr id="1044" name="TextBox 1043">
            <a:extLst>
              <a:ext uri="{FF2B5EF4-FFF2-40B4-BE49-F238E27FC236}">
                <a16:creationId xmlns:a16="http://schemas.microsoft.com/office/drawing/2014/main" id="{3C68215C-5254-4135-B31F-7FDEF7BEC3D6}"/>
              </a:ext>
            </a:extLst>
          </xdr:cNvPr>
          <xdr:cNvSpPr txBox="1"/>
        </xdr:nvSpPr>
        <xdr:spPr>
          <a:xfrm>
            <a:off x="8393429" y="1725930"/>
            <a:ext cx="1291590" cy="4521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D1581DB-CCD2-4600-8305-4620351A82EF}" type="TxLink">
              <a:rPr lang="en-US" sz="3200" b="1" i="0" u="none" strike="noStrike">
                <a:solidFill>
                  <a:schemeClr val="tx1">
                    <a:lumMod val="50000"/>
                    <a:lumOff val="50000"/>
                  </a:schemeClr>
                </a:solidFill>
                <a:latin typeface="Bahnschrift" panose="020B0502040204020203" pitchFamily="34" charset="0"/>
                <a:ea typeface="+mn-ea"/>
                <a:cs typeface="Calibri"/>
              </a:rPr>
              <a:pPr marL="0" indent="0" algn="ctr"/>
              <a:t>147</a:t>
            </a:fld>
            <a:endParaRPr lang="en-US" sz="3200" b="1" i="0" u="none" strike="noStrike">
              <a:solidFill>
                <a:schemeClr val="tx1">
                  <a:lumMod val="50000"/>
                  <a:lumOff val="50000"/>
                </a:schemeClr>
              </a:solidFill>
              <a:latin typeface="Bahnschrift" panose="020B0502040204020203" pitchFamily="34" charset="0"/>
              <a:ea typeface="+mn-ea"/>
              <a:cs typeface="Calibri"/>
            </a:endParaRPr>
          </a:p>
        </xdr:txBody>
      </xdr:sp>
      <xdr:cxnSp macro="">
        <xdr:nvCxnSpPr>
          <xdr:cNvPr id="1045" name="Straight Connector 1044">
            <a:extLst>
              <a:ext uri="{FF2B5EF4-FFF2-40B4-BE49-F238E27FC236}">
                <a16:creationId xmlns:a16="http://schemas.microsoft.com/office/drawing/2014/main" id="{4C41AEEE-B20B-4B7C-A269-653187C7920D}"/>
              </a:ext>
            </a:extLst>
          </xdr:cNvPr>
          <xdr:cNvCxnSpPr/>
        </xdr:nvCxnSpPr>
        <xdr:spPr>
          <a:xfrm>
            <a:off x="8439150" y="2183130"/>
            <a:ext cx="1295400" cy="0"/>
          </a:xfrm>
          <a:prstGeom prst="line">
            <a:avLst/>
          </a:prstGeom>
          <a:ln w="28575">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sp macro="" textlink="'Analysis (Pvt)'!AA19">
        <xdr:nvSpPr>
          <xdr:cNvPr id="1046" name="TextBox 1045">
            <a:extLst>
              <a:ext uri="{FF2B5EF4-FFF2-40B4-BE49-F238E27FC236}">
                <a16:creationId xmlns:a16="http://schemas.microsoft.com/office/drawing/2014/main" id="{2C831B46-4D4D-48DA-B696-170A01DBE500}"/>
              </a:ext>
            </a:extLst>
          </xdr:cNvPr>
          <xdr:cNvSpPr txBox="1"/>
        </xdr:nvSpPr>
        <xdr:spPr>
          <a:xfrm>
            <a:off x="8437246" y="2428873"/>
            <a:ext cx="1333499" cy="6308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21BB79C-03D5-4EC9-AD66-EBE7E557B363}" type="TxLink">
              <a:rPr lang="en-US" sz="1050" b="0" i="0" u="none" strike="noStrike">
                <a:solidFill>
                  <a:schemeClr val="tx1">
                    <a:lumMod val="75000"/>
                    <a:lumOff val="25000"/>
                  </a:schemeClr>
                </a:solidFill>
                <a:latin typeface="Calibri"/>
                <a:ea typeface="+mn-ea"/>
                <a:cs typeface="Calibri"/>
              </a:rPr>
              <a:pPr marL="0" indent="0" algn="ctr"/>
              <a:t>Distribution of on-time, late, and cancelled deliveries</a:t>
            </a:fld>
            <a:endParaRPr lang="en-US" sz="1050" b="0" i="0" u="none" strike="noStrike">
              <a:solidFill>
                <a:schemeClr val="tx1">
                  <a:lumMod val="75000"/>
                  <a:lumOff val="25000"/>
                </a:schemeClr>
              </a:solidFill>
              <a:latin typeface="Calibri"/>
              <a:ea typeface="+mn-ea"/>
              <a:cs typeface="Calibri"/>
            </a:endParaRPr>
          </a:p>
        </xdr:txBody>
      </xdr:sp>
      <xdr:sp macro="" textlink="'Analysis (Pvt)'!AA12">
        <xdr:nvSpPr>
          <xdr:cNvPr id="1048" name="TextBox 1047">
            <a:extLst>
              <a:ext uri="{FF2B5EF4-FFF2-40B4-BE49-F238E27FC236}">
                <a16:creationId xmlns:a16="http://schemas.microsoft.com/office/drawing/2014/main" id="{6CFAFB01-DF3B-4933-ADD1-6C015BB3E325}"/>
              </a:ext>
            </a:extLst>
          </xdr:cNvPr>
          <xdr:cNvSpPr txBox="1"/>
        </xdr:nvSpPr>
        <xdr:spPr>
          <a:xfrm>
            <a:off x="8435340" y="3107054"/>
            <a:ext cx="1261110" cy="275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427F96A-BC70-421A-A8E9-A897FE6F48A4}" type="TxLink">
              <a:rPr lang="en-US" sz="1100" b="0" i="0" u="none" strike="noStrike">
                <a:solidFill>
                  <a:srgbClr val="C00000"/>
                </a:solidFill>
                <a:latin typeface="Calibri"/>
                <a:ea typeface="+mn-ea"/>
                <a:cs typeface="Calibri"/>
              </a:rPr>
              <a:pPr marL="0" indent="0" algn="ctr"/>
              <a:t>On Time</a:t>
            </a:fld>
            <a:endParaRPr lang="en-US" sz="1100" b="0" i="0" u="none" strike="noStrike">
              <a:solidFill>
                <a:srgbClr val="C00000"/>
              </a:solidFill>
              <a:latin typeface="Calibri"/>
              <a:ea typeface="+mn-ea"/>
              <a:cs typeface="Calibri"/>
            </a:endParaRPr>
          </a:p>
        </xdr:txBody>
      </xdr:sp>
      <xdr:sp macro="" textlink="'Analysis (Pvt)'!AA11">
        <xdr:nvSpPr>
          <xdr:cNvPr id="1049" name="TextBox 1048">
            <a:extLst>
              <a:ext uri="{FF2B5EF4-FFF2-40B4-BE49-F238E27FC236}">
                <a16:creationId xmlns:a16="http://schemas.microsoft.com/office/drawing/2014/main" id="{B60ECA1D-AB21-489C-9E16-EF51350CD8C9}"/>
              </a:ext>
            </a:extLst>
          </xdr:cNvPr>
          <xdr:cNvSpPr txBox="1"/>
        </xdr:nvSpPr>
        <xdr:spPr>
          <a:xfrm>
            <a:off x="8437244" y="4326255"/>
            <a:ext cx="1257300" cy="273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794E826-8D7F-47BD-8AC7-709CF434BDAB}" type="TxLink">
              <a:rPr lang="en-US" sz="1100" b="0" i="0" u="none" strike="noStrike">
                <a:solidFill>
                  <a:srgbClr val="1B2A49"/>
                </a:solidFill>
                <a:latin typeface="Calibri"/>
                <a:ea typeface="+mn-ea"/>
                <a:cs typeface="Calibri"/>
              </a:rPr>
              <a:pPr marL="0" indent="0" algn="ctr"/>
              <a:t>Late</a:t>
            </a:fld>
            <a:endParaRPr lang="en-US" sz="1100" b="0" i="0" u="none" strike="noStrike">
              <a:solidFill>
                <a:srgbClr val="1B2A49"/>
              </a:solidFill>
              <a:latin typeface="Calibri"/>
              <a:ea typeface="+mn-ea"/>
              <a:cs typeface="Calibri"/>
            </a:endParaRPr>
          </a:p>
        </xdr:txBody>
      </xdr:sp>
      <xdr:sp macro="" textlink="'Analysis (Pvt)'!AA10">
        <xdr:nvSpPr>
          <xdr:cNvPr id="1050" name="TextBox 1049">
            <a:extLst>
              <a:ext uri="{FF2B5EF4-FFF2-40B4-BE49-F238E27FC236}">
                <a16:creationId xmlns:a16="http://schemas.microsoft.com/office/drawing/2014/main" id="{CA269CB2-2407-490A-B6FE-3942D1E672E3}"/>
              </a:ext>
            </a:extLst>
          </xdr:cNvPr>
          <xdr:cNvSpPr txBox="1"/>
        </xdr:nvSpPr>
        <xdr:spPr>
          <a:xfrm>
            <a:off x="8437243" y="5636895"/>
            <a:ext cx="1257300" cy="2754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95BE8D9-E756-430B-B3B9-3F9DCD2346F3}" type="TxLink">
              <a:rPr lang="en-US" sz="1100" b="0" i="0" u="none" strike="noStrike">
                <a:solidFill>
                  <a:schemeClr val="accent1">
                    <a:lumMod val="75000"/>
                  </a:schemeClr>
                </a:solidFill>
                <a:latin typeface="Calibri"/>
                <a:ea typeface="+mn-ea"/>
                <a:cs typeface="Calibri"/>
              </a:rPr>
              <a:pPr marL="0" indent="0" algn="ctr"/>
              <a:t>Cancelled</a:t>
            </a:fld>
            <a:endParaRPr lang="en-US" sz="1100" b="0" i="0" u="none" strike="noStrike">
              <a:solidFill>
                <a:schemeClr val="accent1">
                  <a:lumMod val="75000"/>
                </a:schemeClr>
              </a:solidFill>
              <a:latin typeface="Calibri"/>
              <a:ea typeface="+mn-ea"/>
              <a:cs typeface="Calibri"/>
            </a:endParaRPr>
          </a:p>
        </xdr:txBody>
      </xdr:sp>
      <xdr:sp macro="" textlink="[1]Analysis!AB11">
        <xdr:nvSpPr>
          <xdr:cNvPr id="1052" name="TextBox 1051">
            <a:extLst>
              <a:ext uri="{FF2B5EF4-FFF2-40B4-BE49-F238E27FC236}">
                <a16:creationId xmlns:a16="http://schemas.microsoft.com/office/drawing/2014/main" id="{2FF9B8A4-5C13-42D4-A2BD-3F74690F6BE0}"/>
              </a:ext>
            </a:extLst>
          </xdr:cNvPr>
          <xdr:cNvSpPr txBox="1"/>
        </xdr:nvSpPr>
        <xdr:spPr>
          <a:xfrm>
            <a:off x="8702040" y="4791075"/>
            <a:ext cx="762000" cy="3638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A940B87-9510-445C-901F-DEACAB0E26BB}" type="TxLink">
              <a:rPr lang="en-US" sz="1600" b="1" i="0" u="none" strike="noStrike">
                <a:solidFill>
                  <a:srgbClr val="1B2A49"/>
                </a:solidFill>
                <a:latin typeface="Agency FB" panose="020B0503020202020204" pitchFamily="34" charset="0"/>
                <a:ea typeface="+mn-ea"/>
                <a:cs typeface="Calibri"/>
              </a:rPr>
              <a:pPr marL="0" indent="0" algn="ctr"/>
              <a:t>47.0%</a:t>
            </a:fld>
            <a:endParaRPr lang="en-US" sz="1600" b="1" i="0" u="none" strike="noStrike">
              <a:solidFill>
                <a:srgbClr val="1B2A49"/>
              </a:solidFill>
              <a:latin typeface="Agency FB" panose="020B0503020202020204" pitchFamily="34" charset="0"/>
              <a:ea typeface="+mn-ea"/>
              <a:cs typeface="Calibri"/>
            </a:endParaRPr>
          </a:p>
        </xdr:txBody>
      </xdr:sp>
      <xdr:sp macro="" textlink="[1]Analysis!AB12">
        <xdr:nvSpPr>
          <xdr:cNvPr id="1053" name="TextBox 1052">
            <a:extLst>
              <a:ext uri="{FF2B5EF4-FFF2-40B4-BE49-F238E27FC236}">
                <a16:creationId xmlns:a16="http://schemas.microsoft.com/office/drawing/2014/main" id="{D545D2B3-1E94-4A3B-854F-EE7B2034A44B}"/>
              </a:ext>
            </a:extLst>
          </xdr:cNvPr>
          <xdr:cNvSpPr txBox="1"/>
        </xdr:nvSpPr>
        <xdr:spPr>
          <a:xfrm>
            <a:off x="8702040" y="6059805"/>
            <a:ext cx="762000" cy="3689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8526120-05D7-420E-A9EC-1A25031266C0}" type="TxLink">
              <a:rPr lang="en-US" sz="1600" b="1" i="0" u="none" strike="noStrike">
                <a:solidFill>
                  <a:schemeClr val="accent1">
                    <a:lumMod val="75000"/>
                  </a:schemeClr>
                </a:solidFill>
                <a:latin typeface="Agency FB" panose="020B0503020202020204" pitchFamily="34" charset="0"/>
                <a:ea typeface="+mn-ea"/>
                <a:cs typeface="Calibri"/>
              </a:rPr>
              <a:pPr marL="0" indent="0" algn="ctr"/>
              <a:t>15.7%</a:t>
            </a:fld>
            <a:endParaRPr lang="en-US" sz="1600" b="1" i="0" u="none" strike="noStrike">
              <a:solidFill>
                <a:schemeClr val="accent1">
                  <a:lumMod val="75000"/>
                </a:schemeClr>
              </a:solidFill>
              <a:latin typeface="Agency FB" panose="020B0503020202020204" pitchFamily="34" charset="0"/>
              <a:ea typeface="+mn-ea"/>
              <a:cs typeface="Calibri"/>
            </a:endParaRPr>
          </a:p>
        </xdr:txBody>
      </xdr:sp>
      <xdr:sp macro="" textlink="'Analysis (Pvt)'!AA7">
        <xdr:nvSpPr>
          <xdr:cNvPr id="1054" name="TextBox 1053">
            <a:extLst>
              <a:ext uri="{FF2B5EF4-FFF2-40B4-BE49-F238E27FC236}">
                <a16:creationId xmlns:a16="http://schemas.microsoft.com/office/drawing/2014/main" id="{AA86A622-9DA4-4E47-93FC-86E3B1B5DDBF}"/>
              </a:ext>
            </a:extLst>
          </xdr:cNvPr>
          <xdr:cNvSpPr txBox="1"/>
        </xdr:nvSpPr>
        <xdr:spPr>
          <a:xfrm>
            <a:off x="8463915" y="2228849"/>
            <a:ext cx="1270634" cy="250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96588EA-0E77-4BF6-A412-6FCCC09E102B}" type="TxLink">
              <a:rPr lang="en-US" sz="1200" b="1" i="0" u="none" strike="noStrike">
                <a:solidFill>
                  <a:schemeClr val="tx1">
                    <a:lumMod val="50000"/>
                    <a:lumOff val="50000"/>
                  </a:schemeClr>
                </a:solidFill>
                <a:latin typeface="Calibri"/>
                <a:ea typeface="+mn-ea"/>
                <a:cs typeface="Calibri"/>
              </a:rPr>
              <a:pPr marL="0" indent="0" algn="ctr"/>
              <a:t>Delivery Analysis</a:t>
            </a:fld>
            <a:endParaRPr lang="en-US" sz="1200" b="1" i="0" u="none" strike="noStrike">
              <a:solidFill>
                <a:schemeClr val="tx1">
                  <a:lumMod val="50000"/>
                  <a:lumOff val="50000"/>
                </a:schemeClr>
              </a:solidFill>
              <a:latin typeface="Calibri"/>
              <a:ea typeface="+mn-ea"/>
              <a:cs typeface="Calibri"/>
            </a:endParaRPr>
          </a:p>
        </xdr:txBody>
      </xdr:sp>
      <xdr:graphicFrame macro="">
        <xdr:nvGraphicFramePr>
          <xdr:cNvPr id="1063" name="Chart 1062">
            <a:extLst>
              <a:ext uri="{FF2B5EF4-FFF2-40B4-BE49-F238E27FC236}">
                <a16:creationId xmlns:a16="http://schemas.microsoft.com/office/drawing/2014/main" id="{DB617085-A323-47A8-A947-72971CC7E5D0}"/>
              </a:ext>
            </a:extLst>
          </xdr:cNvPr>
          <xdr:cNvGraphicFramePr>
            <a:graphicFrameLocks/>
          </xdr:cNvGraphicFramePr>
        </xdr:nvGraphicFramePr>
        <xdr:xfrm>
          <a:off x="8473440" y="3246120"/>
          <a:ext cx="1173390" cy="1087410"/>
        </xdr:xfrm>
        <a:graphic>
          <a:graphicData uri="http://schemas.openxmlformats.org/drawingml/2006/chart">
            <c:chart xmlns:c="http://schemas.openxmlformats.org/drawingml/2006/chart" xmlns:r="http://schemas.openxmlformats.org/officeDocument/2006/relationships" r:id="rId15"/>
          </a:graphicData>
        </a:graphic>
      </xdr:graphicFrame>
      <xdr:sp macro="" textlink="">
        <xdr:nvSpPr>
          <xdr:cNvPr id="1069" name="Rectangle: Rounded Corners 1068">
            <a:extLst>
              <a:ext uri="{FF2B5EF4-FFF2-40B4-BE49-F238E27FC236}">
                <a16:creationId xmlns:a16="http://schemas.microsoft.com/office/drawing/2014/main" id="{A606D369-BD0E-470A-B9D7-0E210F03D7A3}"/>
              </a:ext>
            </a:extLst>
          </xdr:cNvPr>
          <xdr:cNvSpPr/>
        </xdr:nvSpPr>
        <xdr:spPr>
          <a:xfrm>
            <a:off x="8389621" y="6964500"/>
            <a:ext cx="1362147" cy="289752"/>
          </a:xfrm>
          <a:prstGeom prst="roundRect">
            <a:avLst/>
          </a:prstGeom>
          <a:solidFill>
            <a:srgbClr val="1B2A49"/>
          </a:solidFill>
          <a:ln>
            <a:noFill/>
          </a:ln>
          <a:effectLst>
            <a:softEdge rad="3175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1B2A49"/>
              </a:solidFill>
            </a:endParaRPr>
          </a:p>
        </xdr:txBody>
      </xdr:sp>
      <xdr:sp macro="" textlink="'Analysis (Pvt)'!AB17">
        <xdr:nvSpPr>
          <xdr:cNvPr id="1070" name="TextBox 1069">
            <a:extLst>
              <a:ext uri="{FF2B5EF4-FFF2-40B4-BE49-F238E27FC236}">
                <a16:creationId xmlns:a16="http://schemas.microsoft.com/office/drawing/2014/main" id="{EE4FDA7E-B4E0-4D3E-9B72-9D06BEF62EE6}"/>
              </a:ext>
            </a:extLst>
          </xdr:cNvPr>
          <xdr:cNvSpPr txBox="1"/>
        </xdr:nvSpPr>
        <xdr:spPr>
          <a:xfrm>
            <a:off x="8698230" y="3583305"/>
            <a:ext cx="760095" cy="362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23DBC87-D1D7-40DE-89B7-782661C32184}" type="TxLink">
              <a:rPr lang="en-US" sz="1600" b="1" i="0" u="none" strike="noStrike">
                <a:solidFill>
                  <a:srgbClr val="C00000"/>
                </a:solidFill>
                <a:latin typeface="Agency FB" panose="020B0503020202020204" pitchFamily="34" charset="0"/>
                <a:ea typeface="+mn-ea"/>
                <a:cs typeface="Calibri"/>
              </a:rPr>
              <a:pPr marL="0" indent="0" algn="ctr"/>
              <a:t>38.40%</a:t>
            </a:fld>
            <a:endParaRPr lang="en-US" sz="1600" b="1" i="0" u="none" strike="noStrike">
              <a:solidFill>
                <a:srgbClr val="C00000"/>
              </a:solidFill>
              <a:latin typeface="Agency FB" panose="020B0503020202020204" pitchFamily="34" charset="0"/>
              <a:ea typeface="+mn-ea"/>
              <a:cs typeface="Calibri"/>
            </a:endParaRPr>
          </a:p>
        </xdr:txBody>
      </xdr:sp>
    </xdr:grpSp>
    <xdr:clientData/>
  </xdr:twoCellAnchor>
  <xdr:twoCellAnchor editAs="oneCell">
    <xdr:from>
      <xdr:col>4</xdr:col>
      <xdr:colOff>296859</xdr:colOff>
      <xdr:row>2</xdr:row>
      <xdr:rowOff>360044</xdr:rowOff>
    </xdr:from>
    <xdr:to>
      <xdr:col>4</xdr:col>
      <xdr:colOff>725130</xdr:colOff>
      <xdr:row>3</xdr:row>
      <xdr:rowOff>363855</xdr:rowOff>
    </xdr:to>
    <xdr:pic>
      <xdr:nvPicPr>
        <xdr:cNvPr id="34" name="Picture 33">
          <a:extLst>
            <a:ext uri="{FF2B5EF4-FFF2-40B4-BE49-F238E27FC236}">
              <a16:creationId xmlns:a16="http://schemas.microsoft.com/office/drawing/2014/main" id="{26D157EB-6115-1522-3A5C-3A84E632D8CA}"/>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6402384" y="769619"/>
          <a:ext cx="428271" cy="457201"/>
        </a:xfrm>
        <a:prstGeom prst="rect">
          <a:avLst/>
        </a:prstGeom>
        <a:noFill/>
        <a:ln w="2976" cap="flat">
          <a:noFill/>
          <a:prstDash val="solid"/>
          <a:miter/>
        </a:ln>
        <a:effectLst>
          <a:outerShdw blurRad="63500" sx="102000" sy="102000" algn="ctr" rotWithShape="0">
            <a:prstClr val="black"/>
          </a:outerShdw>
        </a:effectLst>
      </xdr:spPr>
    </xdr:pic>
    <xdr:clientData/>
  </xdr:twoCellAnchor>
  <xdr:twoCellAnchor editAs="absolute">
    <xdr:from>
      <xdr:col>3</xdr:col>
      <xdr:colOff>1693545</xdr:colOff>
      <xdr:row>3</xdr:row>
      <xdr:rowOff>230505</xdr:rowOff>
    </xdr:from>
    <xdr:to>
      <xdr:col>3</xdr:col>
      <xdr:colOff>2207895</xdr:colOff>
      <xdr:row>3</xdr:row>
      <xdr:rowOff>453390</xdr:rowOff>
    </xdr:to>
    <xdr:sp macro="" textlink="'Analysis (Pvt)'!$I$7">
      <xdr:nvSpPr>
        <xdr:cNvPr id="35" name="TextBox 34">
          <a:extLst>
            <a:ext uri="{FF2B5EF4-FFF2-40B4-BE49-F238E27FC236}">
              <a16:creationId xmlns:a16="http://schemas.microsoft.com/office/drawing/2014/main" id="{7A7A7343-03C3-4DA3-A334-11480802F560}"/>
            </a:ext>
          </a:extLst>
        </xdr:cNvPr>
        <xdr:cNvSpPr txBox="1"/>
      </xdr:nvSpPr>
      <xdr:spPr>
        <a:xfrm>
          <a:off x="5314950" y="1097280"/>
          <a:ext cx="502920" cy="222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6608E1-7528-4465-B074-F03BC5FFDEFB}" type="TxLink">
            <a:rPr lang="en-US" sz="1100" b="1" i="0" u="none" strike="noStrike">
              <a:solidFill>
                <a:srgbClr val="C00000"/>
              </a:solidFill>
              <a:latin typeface="Bahnschrift" panose="020B0502040204020203" pitchFamily="34" charset="0"/>
              <a:ea typeface="+mn-ea"/>
              <a:cs typeface="Calibri"/>
            </a:rPr>
            <a:pPr marL="0" indent="0" algn="ctr"/>
            <a:t>4</a:t>
          </a:fld>
          <a:endParaRPr lang="en-US" sz="1100" b="1" i="0" u="none" strike="noStrike">
            <a:solidFill>
              <a:srgbClr val="C00000"/>
            </a:solidFill>
            <a:latin typeface="Bahnschrift" panose="020B0502040204020203" pitchFamily="34" charset="0"/>
            <a:ea typeface="+mn-ea"/>
            <a:cs typeface="Calibri"/>
          </a:endParaRPr>
        </a:p>
      </xdr:txBody>
    </xdr:sp>
    <xdr:clientData/>
  </xdr:twoCellAnchor>
  <xdr:twoCellAnchor editAs="absolute">
    <xdr:from>
      <xdr:col>3</xdr:col>
      <xdr:colOff>931545</xdr:colOff>
      <xdr:row>3</xdr:row>
      <xdr:rowOff>211455</xdr:rowOff>
    </xdr:from>
    <xdr:to>
      <xdr:col>3</xdr:col>
      <xdr:colOff>1430655</xdr:colOff>
      <xdr:row>3</xdr:row>
      <xdr:rowOff>436245</xdr:rowOff>
    </xdr:to>
    <xdr:sp macro="" textlink="'Analysis (Pvt)'!$H$7">
      <xdr:nvSpPr>
        <xdr:cNvPr id="36" name="TextBox 35">
          <a:extLst>
            <a:ext uri="{FF2B5EF4-FFF2-40B4-BE49-F238E27FC236}">
              <a16:creationId xmlns:a16="http://schemas.microsoft.com/office/drawing/2014/main" id="{E87A4313-080A-4023-8249-13AC2E71366A}"/>
            </a:ext>
          </a:extLst>
        </xdr:cNvPr>
        <xdr:cNvSpPr txBox="1"/>
      </xdr:nvSpPr>
      <xdr:spPr>
        <a:xfrm>
          <a:off x="4541520" y="1087755"/>
          <a:ext cx="508635" cy="222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DDCA2A3-FA7D-4F66-A8D0-8D12B7D75238}" type="TxLink">
            <a:rPr lang="en-US" sz="1100" b="1" i="0" u="none" strike="noStrike">
              <a:solidFill>
                <a:srgbClr val="C00000"/>
              </a:solidFill>
              <a:latin typeface="Bahnschrift" panose="020B0502040204020203" pitchFamily="34" charset="0"/>
              <a:ea typeface="+mn-ea"/>
              <a:cs typeface="Calibri"/>
            </a:rPr>
            <a:pPr marL="0" indent="0" algn="ctr"/>
            <a:t>69</a:t>
          </a:fld>
          <a:endParaRPr lang="en-US" sz="1100" b="1" i="0" u="none" strike="noStrike">
            <a:solidFill>
              <a:srgbClr val="C00000"/>
            </a:solidFill>
            <a:latin typeface="Bahnschrift" panose="020B0502040204020203" pitchFamily="34" charset="0"/>
            <a:ea typeface="+mn-ea"/>
            <a:cs typeface="Calibri"/>
          </a:endParaRPr>
        </a:p>
      </xdr:txBody>
    </xdr:sp>
    <xdr:clientData/>
  </xdr:twoCellAnchor>
  <xdr:twoCellAnchor editAs="oneCell">
    <xdr:from>
      <xdr:col>3</xdr:col>
      <xdr:colOff>1773555</xdr:colOff>
      <xdr:row>2</xdr:row>
      <xdr:rowOff>430531</xdr:rowOff>
    </xdr:from>
    <xdr:to>
      <xdr:col>3</xdr:col>
      <xdr:colOff>2112645</xdr:colOff>
      <xdr:row>3</xdr:row>
      <xdr:rowOff>324020</xdr:rowOff>
    </xdr:to>
    <xdr:pic>
      <xdr:nvPicPr>
        <xdr:cNvPr id="38" name="Picture 37">
          <a:extLst>
            <a:ext uri="{FF2B5EF4-FFF2-40B4-BE49-F238E27FC236}">
              <a16:creationId xmlns:a16="http://schemas.microsoft.com/office/drawing/2014/main" id="{DE2D711B-30A1-1B41-AFDA-A65D3978DBAF}"/>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5383530" y="840106"/>
          <a:ext cx="350520" cy="3430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1057276</xdr:colOff>
      <xdr:row>3</xdr:row>
      <xdr:rowOff>11432</xdr:rowOff>
    </xdr:from>
    <xdr:to>
      <xdr:col>3</xdr:col>
      <xdr:colOff>1312545</xdr:colOff>
      <xdr:row>3</xdr:row>
      <xdr:rowOff>286820</xdr:rowOff>
    </xdr:to>
    <xdr:pic>
      <xdr:nvPicPr>
        <xdr:cNvPr id="39" name="Picture 38">
          <a:extLst>
            <a:ext uri="{FF2B5EF4-FFF2-40B4-BE49-F238E27FC236}">
              <a16:creationId xmlns:a16="http://schemas.microsoft.com/office/drawing/2014/main" id="{AE409A61-DAC7-03C2-CB41-B15F741CA8F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4667251" y="878207"/>
          <a:ext cx="262889" cy="2753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2171700</xdr:colOff>
      <xdr:row>4</xdr:row>
      <xdr:rowOff>123825</xdr:rowOff>
    </xdr:from>
    <xdr:to>
      <xdr:col>8</xdr:col>
      <xdr:colOff>36195</xdr:colOff>
      <xdr:row>16</xdr:row>
      <xdr:rowOff>57150</xdr:rowOff>
    </xdr:to>
    <xdr:grpSp>
      <xdr:nvGrpSpPr>
        <xdr:cNvPr id="37" name="Group 36">
          <a:extLst>
            <a:ext uri="{FF2B5EF4-FFF2-40B4-BE49-F238E27FC236}">
              <a16:creationId xmlns:a16="http://schemas.microsoft.com/office/drawing/2014/main" id="{04302C3B-86EE-9206-4135-1D17FE9C3DA1}"/>
            </a:ext>
          </a:extLst>
        </xdr:cNvPr>
        <xdr:cNvGrpSpPr/>
      </xdr:nvGrpSpPr>
      <xdr:grpSpPr>
        <a:xfrm>
          <a:off x="8277225" y="1449705"/>
          <a:ext cx="4493895" cy="2651760"/>
          <a:chOff x="8292465" y="1421130"/>
          <a:chExt cx="4501515" cy="2867025"/>
        </a:xfrm>
      </xdr:grpSpPr>
      <xdr:sp macro="" textlink="">
        <xdr:nvSpPr>
          <xdr:cNvPr id="1072" name="Rectangle: Rounded Corners 1071">
            <a:extLst>
              <a:ext uri="{FF2B5EF4-FFF2-40B4-BE49-F238E27FC236}">
                <a16:creationId xmlns:a16="http://schemas.microsoft.com/office/drawing/2014/main" id="{E2B37302-4B28-44AC-B3C7-E34ADB535971}"/>
              </a:ext>
            </a:extLst>
          </xdr:cNvPr>
          <xdr:cNvSpPr/>
        </xdr:nvSpPr>
        <xdr:spPr>
          <a:xfrm>
            <a:off x="8292465" y="1421130"/>
            <a:ext cx="4501515" cy="2865120"/>
          </a:xfrm>
          <a:prstGeom prst="roundRect">
            <a:avLst/>
          </a:prstGeom>
          <a:solidFill>
            <a:schemeClr val="bg1"/>
          </a:solidFill>
          <a:ln>
            <a:noFill/>
          </a:ln>
          <a:effectLst>
            <a:outerShdw blurRad="50800" dist="38100" dir="8100000" algn="tr" rotWithShape="0">
              <a:prstClr val="black">
                <a:alpha val="1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 name="Chart 2">
            <a:extLst>
              <a:ext uri="{FF2B5EF4-FFF2-40B4-BE49-F238E27FC236}">
                <a16:creationId xmlns:a16="http://schemas.microsoft.com/office/drawing/2014/main" id="{54EE4A40-E260-45AE-A266-9E69DF4E6913}"/>
              </a:ext>
            </a:extLst>
          </xdr:cNvPr>
          <xdr:cNvGraphicFramePr>
            <a:graphicFrameLocks/>
          </xdr:cNvGraphicFramePr>
        </xdr:nvGraphicFramePr>
        <xdr:xfrm>
          <a:off x="8387715" y="1554480"/>
          <a:ext cx="4404361" cy="2733675"/>
        </xdr:xfrm>
        <a:graphic>
          <a:graphicData uri="http://schemas.openxmlformats.org/drawingml/2006/chart">
            <c:chart xmlns:c="http://schemas.openxmlformats.org/drawingml/2006/chart" xmlns:r="http://schemas.openxmlformats.org/officeDocument/2006/relationships" r:id="rId19"/>
          </a:graphicData>
        </a:graphic>
      </xdr:graphicFrame>
    </xdr:grpSp>
    <xdr:clientData/>
  </xdr:twoCellAnchor>
  <xdr:twoCellAnchor>
    <xdr:from>
      <xdr:col>4</xdr:col>
      <xdr:colOff>2152640</xdr:colOff>
      <xdr:row>16</xdr:row>
      <xdr:rowOff>133349</xdr:rowOff>
    </xdr:from>
    <xdr:to>
      <xdr:col>8</xdr:col>
      <xdr:colOff>95257</xdr:colOff>
      <xdr:row>33</xdr:row>
      <xdr:rowOff>17145</xdr:rowOff>
    </xdr:to>
    <xdr:grpSp>
      <xdr:nvGrpSpPr>
        <xdr:cNvPr id="42" name="Group 41">
          <a:extLst>
            <a:ext uri="{FF2B5EF4-FFF2-40B4-BE49-F238E27FC236}">
              <a16:creationId xmlns:a16="http://schemas.microsoft.com/office/drawing/2014/main" id="{7EF58068-AFE3-C33A-28FB-F11077AAEFA4}"/>
            </a:ext>
          </a:extLst>
        </xdr:cNvPr>
        <xdr:cNvGrpSpPr/>
      </xdr:nvGrpSpPr>
      <xdr:grpSpPr>
        <a:xfrm>
          <a:off x="8261975" y="4185284"/>
          <a:ext cx="4564397" cy="2960371"/>
          <a:chOff x="8258175" y="4217668"/>
          <a:chExt cx="4577715" cy="2967991"/>
        </a:xfrm>
      </xdr:grpSpPr>
      <xdr:sp macro="" textlink="">
        <xdr:nvSpPr>
          <xdr:cNvPr id="1073" name="Rectangle: Rounded Corners 1072">
            <a:extLst>
              <a:ext uri="{FF2B5EF4-FFF2-40B4-BE49-F238E27FC236}">
                <a16:creationId xmlns:a16="http://schemas.microsoft.com/office/drawing/2014/main" id="{D87F0B6C-DE50-4D3C-871B-AE08E8E65B48}"/>
              </a:ext>
            </a:extLst>
          </xdr:cNvPr>
          <xdr:cNvSpPr/>
        </xdr:nvSpPr>
        <xdr:spPr>
          <a:xfrm>
            <a:off x="8277225" y="4217668"/>
            <a:ext cx="4491990" cy="2967991"/>
          </a:xfrm>
          <a:prstGeom prst="roundRect">
            <a:avLst/>
          </a:prstGeom>
          <a:solidFill>
            <a:schemeClr val="bg1"/>
          </a:solidFill>
          <a:ln>
            <a:noFill/>
          </a:ln>
          <a:effectLst>
            <a:outerShdw blurRad="50800" dist="38100" dir="8100000" algn="tr" rotWithShape="0">
              <a:prstClr val="black">
                <a:alpha val="1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41" name="Group 40">
            <a:extLst>
              <a:ext uri="{FF2B5EF4-FFF2-40B4-BE49-F238E27FC236}">
                <a16:creationId xmlns:a16="http://schemas.microsoft.com/office/drawing/2014/main" id="{9F38DB23-23E6-9CE6-E405-6623206646D2}"/>
              </a:ext>
            </a:extLst>
          </xdr:cNvPr>
          <xdr:cNvGrpSpPr/>
        </xdr:nvGrpSpPr>
        <xdr:grpSpPr>
          <a:xfrm>
            <a:off x="8258175" y="4326251"/>
            <a:ext cx="4577715" cy="2747015"/>
            <a:chOff x="8261985" y="4503066"/>
            <a:chExt cx="4566289" cy="2759328"/>
          </a:xfrm>
        </xdr:grpSpPr>
        <xdr:graphicFrame macro="">
          <xdr:nvGraphicFramePr>
            <xdr:cNvPr id="15" name="Chart 14">
              <a:extLst>
                <a:ext uri="{FF2B5EF4-FFF2-40B4-BE49-F238E27FC236}">
                  <a16:creationId xmlns:a16="http://schemas.microsoft.com/office/drawing/2014/main" id="{5CCFC175-D59D-4E68-A3F1-5A02B6E0B436}"/>
                </a:ext>
              </a:extLst>
            </xdr:cNvPr>
            <xdr:cNvGraphicFramePr>
              <a:graphicFrameLocks/>
            </xdr:cNvGraphicFramePr>
          </xdr:nvGraphicFramePr>
          <xdr:xfrm>
            <a:off x="8261985" y="4503066"/>
            <a:ext cx="4566289" cy="2759328"/>
          </xdr:xfrm>
          <a:graphic>
            <a:graphicData uri="http://schemas.openxmlformats.org/drawingml/2006/chart">
              <c:chart xmlns:c="http://schemas.openxmlformats.org/drawingml/2006/chart" xmlns:r="http://schemas.openxmlformats.org/officeDocument/2006/relationships" r:id="rId20"/>
            </a:graphicData>
          </a:graphic>
        </xdr:graphicFrame>
        <mc:AlternateContent xmlns:mc="http://schemas.openxmlformats.org/markup-compatibility/2006">
          <mc:Choice xmlns:a14="http://schemas.microsoft.com/office/drawing/2010/main" Requires="a14">
            <xdr:sp macro="" textlink="">
              <xdr:nvSpPr>
                <xdr:cNvPr id="1035" name="Option Button 11" descr="Sales&#10;"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11952041" y="4545397"/>
                  <a:ext cx="552450" cy="2952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Product</a:t>
                  </a:r>
                </a:p>
              </xdr:txBody>
            </xdr:sp>
          </mc:Choice>
          <mc:Fallback/>
        </mc:AlternateContent>
        <mc:AlternateContent xmlns:mc="http://schemas.openxmlformats.org/markup-compatibility/2006">
          <mc:Choice xmlns:a14="http://schemas.microsoft.com/office/drawing/2010/main" Requires="a14">
            <xdr:sp macro="" textlink="">
              <xdr:nvSpPr>
                <xdr:cNvPr id="1036" name="Option Button 12" descr="Sales&#10;" hidden="1">
                  <a:extLst>
                    <a:ext uri="{63B3BB69-23CF-44E3-9099-C40C66FF867C}">
                      <a14:compatExt spid="_x0000_s1036"/>
                    </a:ext>
                    <a:ext uri="{FF2B5EF4-FFF2-40B4-BE49-F238E27FC236}">
                      <a16:creationId xmlns:a16="http://schemas.microsoft.com/office/drawing/2014/main" id="{00000000-0008-0000-0400-00000C040000}"/>
                    </a:ext>
                  </a:extLst>
                </xdr:cNvPr>
                <xdr:cNvSpPr/>
              </xdr:nvSpPr>
              <xdr:spPr bwMode="auto">
                <a:xfrm>
                  <a:off x="11951946" y="4707187"/>
                  <a:ext cx="552450" cy="2952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Color</a:t>
                  </a:r>
                </a:p>
              </xdr:txBody>
            </xdr:sp>
          </mc:Choice>
          <mc:Fallback/>
        </mc:AlternateContent>
        <xdr:sp macro="" textlink="'Analysis (Pvt)'!AJ33">
          <xdr:nvSpPr>
            <xdr:cNvPr id="32" name="TextBox 31">
              <a:extLst>
                <a:ext uri="{FF2B5EF4-FFF2-40B4-BE49-F238E27FC236}">
                  <a16:creationId xmlns:a16="http://schemas.microsoft.com/office/drawing/2014/main" id="{B2F32566-0A3F-48F0-B13C-4E02863CCBA7}"/>
                </a:ext>
              </a:extLst>
            </xdr:cNvPr>
            <xdr:cNvSpPr txBox="1"/>
          </xdr:nvSpPr>
          <xdr:spPr>
            <a:xfrm>
              <a:off x="9365044" y="4505352"/>
              <a:ext cx="2318325" cy="4529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919390C-04B5-4A55-BE58-534422E62651}" type="TxLink">
                <a:rPr lang="en-US" sz="1600" b="1" i="0" u="none" strike="noStrike">
                  <a:solidFill>
                    <a:srgbClr val="1B2A49"/>
                  </a:solidFill>
                  <a:latin typeface="Calibri"/>
                  <a:ea typeface="+mn-ea"/>
                  <a:cs typeface="Calibri"/>
                </a:rPr>
                <a:pPr marL="0" indent="0" algn="ctr"/>
                <a:t>Top 5 Sales By Color</a:t>
              </a:fld>
              <a:endParaRPr lang="en-US" sz="1600" b="1" i="0" u="none" strike="noStrike">
                <a:solidFill>
                  <a:srgbClr val="1B2A49"/>
                </a:solidFill>
                <a:latin typeface="Calibri"/>
                <a:ea typeface="+mn-ea"/>
                <a:cs typeface="Calibri"/>
              </a:endParaRPr>
            </a:p>
          </xdr:txBody>
        </xdr:sp>
      </xdr:grpSp>
    </xdr:grpSp>
    <xdr:clientData/>
  </xdr:twoCellAnchor>
  <xdr:twoCellAnchor>
    <xdr:from>
      <xdr:col>8</xdr:col>
      <xdr:colOff>231025</xdr:colOff>
      <xdr:row>18</xdr:row>
      <xdr:rowOff>91919</xdr:rowOff>
    </xdr:from>
    <xdr:to>
      <xdr:col>11</xdr:col>
      <xdr:colOff>554889</xdr:colOff>
      <xdr:row>34</xdr:row>
      <xdr:rowOff>19570</xdr:rowOff>
    </xdr:to>
    <xdr:grpSp>
      <xdr:nvGrpSpPr>
        <xdr:cNvPr id="45" name="Group 44">
          <a:extLst>
            <a:ext uri="{FF2B5EF4-FFF2-40B4-BE49-F238E27FC236}">
              <a16:creationId xmlns:a16="http://schemas.microsoft.com/office/drawing/2014/main" id="{51370B26-350E-DD0C-43D4-FCE028A384F6}"/>
            </a:ext>
          </a:extLst>
        </xdr:cNvPr>
        <xdr:cNvGrpSpPr/>
      </xdr:nvGrpSpPr>
      <xdr:grpSpPr>
        <a:xfrm>
          <a:off x="12965950" y="4505804"/>
          <a:ext cx="2206004" cy="2815631"/>
          <a:chOff x="13077318" y="4562334"/>
          <a:chExt cx="2213597" cy="2797362"/>
        </a:xfrm>
      </xdr:grpSpPr>
      <xdr:graphicFrame macro="">
        <xdr:nvGraphicFramePr>
          <xdr:cNvPr id="43" name="Chart 42">
            <a:extLst>
              <a:ext uri="{FF2B5EF4-FFF2-40B4-BE49-F238E27FC236}">
                <a16:creationId xmlns:a16="http://schemas.microsoft.com/office/drawing/2014/main" id="{F1051700-961F-44DC-9B5D-B800ECB450AB}"/>
              </a:ext>
            </a:extLst>
          </xdr:cNvPr>
          <xdr:cNvGraphicFramePr>
            <a:graphicFrameLocks/>
          </xdr:cNvGraphicFramePr>
        </xdr:nvGraphicFramePr>
        <xdr:xfrm>
          <a:off x="13077318" y="4782690"/>
          <a:ext cx="2213597" cy="2577006"/>
        </xdr:xfrm>
        <a:graphic>
          <a:graphicData uri="http://schemas.openxmlformats.org/drawingml/2006/chart">
            <c:chart xmlns:c="http://schemas.openxmlformats.org/drawingml/2006/chart" xmlns:r="http://schemas.openxmlformats.org/officeDocument/2006/relationships" r:id="rId21"/>
          </a:graphicData>
        </a:graphic>
      </xdr:graphicFrame>
      <xdr:sp macro="" textlink="'Analysis (Pvt)'!$B$9">
        <xdr:nvSpPr>
          <xdr:cNvPr id="44" name="TextBox 43">
            <a:extLst>
              <a:ext uri="{FF2B5EF4-FFF2-40B4-BE49-F238E27FC236}">
                <a16:creationId xmlns:a16="http://schemas.microsoft.com/office/drawing/2014/main" id="{3CA76EF3-49D7-4CDE-801E-9D9E4B474693}"/>
              </a:ext>
            </a:extLst>
          </xdr:cNvPr>
          <xdr:cNvSpPr txBox="1"/>
        </xdr:nvSpPr>
        <xdr:spPr>
          <a:xfrm>
            <a:off x="13180492" y="4562334"/>
            <a:ext cx="1876425" cy="2609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527738B-4DCE-495A-AD5B-06AABB8618C9}" type="TxLink">
              <a:rPr lang="en-US" sz="1200" b="1" i="0" u="none" strike="noStrike">
                <a:solidFill>
                  <a:srgbClr val="1B2A49"/>
                </a:solidFill>
                <a:latin typeface="Calibri"/>
                <a:ea typeface="+mn-ea"/>
                <a:cs typeface="Calibri"/>
              </a:rPr>
              <a:pPr marL="0" indent="0" algn="ctr"/>
              <a:t>Order Delivery Status (%)</a:t>
            </a:fld>
            <a:endParaRPr lang="en-US" sz="1200" b="1" i="0" u="none" strike="noStrike">
              <a:solidFill>
                <a:srgbClr val="1B2A49"/>
              </a:solidFill>
              <a:latin typeface="Calibri"/>
              <a:ea typeface="+mn-ea"/>
              <a:cs typeface="Calibri"/>
            </a:endParaRPr>
          </a:p>
        </xdr:txBody>
      </xdr:sp>
    </xdr:grpSp>
    <xdr:clientData/>
  </xdr:twoCellAnchor>
  <xdr:twoCellAnchor editAs="oneCell">
    <xdr:from>
      <xdr:col>3</xdr:col>
      <xdr:colOff>523877</xdr:colOff>
      <xdr:row>2</xdr:row>
      <xdr:rowOff>350521</xdr:rowOff>
    </xdr:from>
    <xdr:to>
      <xdr:col>3</xdr:col>
      <xdr:colOff>974855</xdr:colOff>
      <xdr:row>3</xdr:row>
      <xdr:rowOff>340996</xdr:rowOff>
    </xdr:to>
    <xdr:pic>
      <xdr:nvPicPr>
        <xdr:cNvPr id="51" name="Picture 50">
          <a:extLst>
            <a:ext uri="{FF2B5EF4-FFF2-40B4-BE49-F238E27FC236}">
              <a16:creationId xmlns:a16="http://schemas.microsoft.com/office/drawing/2014/main" id="{BAF6A837-D977-55E8-62EE-5478AE793D2C}"/>
            </a:ext>
          </a:extLst>
        </xdr:cNvPr>
        <xdr:cNvPicPr>
          <a:picLocks noChangeAspect="1" noChangeArrowheads="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4133852" y="760096"/>
          <a:ext cx="458598" cy="447675"/>
        </a:xfrm>
        <a:prstGeom prst="rect">
          <a:avLst/>
        </a:prstGeom>
        <a:noFill/>
        <a:ln w="2976" cap="flat">
          <a:noFill/>
          <a:prstDash val="solid"/>
          <a:miter/>
        </a:ln>
        <a:effectLst>
          <a:outerShdw blurRad="63500" sx="102000" sy="102000" algn="ctr" rotWithShape="0">
            <a:prstClr val="black"/>
          </a:outerShdw>
        </a:effectLst>
      </xdr:spPr>
    </xdr:pic>
    <xdr:clientData/>
  </xdr:twoCellAnchor>
  <xdr:twoCellAnchor editAs="oneCell">
    <xdr:from>
      <xdr:col>6</xdr:col>
      <xdr:colOff>262891</xdr:colOff>
      <xdr:row>2</xdr:row>
      <xdr:rowOff>381000</xdr:rowOff>
    </xdr:from>
    <xdr:to>
      <xdr:col>6</xdr:col>
      <xdr:colOff>663998</xdr:colOff>
      <xdr:row>3</xdr:row>
      <xdr:rowOff>323850</xdr:rowOff>
    </xdr:to>
    <xdr:pic>
      <xdr:nvPicPr>
        <xdr:cNvPr id="52" name="Picture 51">
          <a:extLst>
            <a:ext uri="{FF2B5EF4-FFF2-40B4-BE49-F238E27FC236}">
              <a16:creationId xmlns:a16="http://schemas.microsoft.com/office/drawing/2014/main" id="{4CEF0D86-ADBC-339A-ED13-B367715B2A10}"/>
            </a:ext>
          </a:extLst>
        </xdr:cNvPr>
        <xdr:cNvPicPr>
          <a:picLocks noChangeAspect="1" noChangeArrowheads="1"/>
        </xdr:cNvPicPr>
      </xdr:nvPicPr>
      <xdr:blipFill>
        <a:blip xmlns:r="http://schemas.openxmlformats.org/officeDocument/2006/relationships" r:embed="rId23" cstate="print">
          <a:extLst>
            <a:ext uri="{28A0092B-C50C-407E-A947-70E740481C1C}">
              <a14:useLocalDpi xmlns:a14="http://schemas.microsoft.com/office/drawing/2010/main" val="0"/>
            </a:ext>
          </a:extLst>
        </a:blip>
        <a:srcRect/>
        <a:stretch>
          <a:fillRect/>
        </a:stretch>
      </xdr:blipFill>
      <xdr:spPr bwMode="auto">
        <a:xfrm>
          <a:off x="10902316" y="790575"/>
          <a:ext cx="393487" cy="386715"/>
        </a:xfrm>
        <a:prstGeom prst="rect">
          <a:avLst/>
        </a:prstGeom>
        <a:noFill/>
        <a:ln w="2929" cap="flat">
          <a:noFill/>
          <a:prstDash val="solid"/>
          <a:miter/>
        </a:ln>
        <a:effectLst>
          <a:outerShdw blurRad="63500" sx="102000" sy="102000" algn="ctr" rotWithShape="0">
            <a:prstClr val="black"/>
          </a:outerShdw>
        </a:effectLst>
      </xdr:spPr>
    </xdr:pic>
    <xdr:clientData/>
  </xdr:twoCellAnchor>
  <xdr:twoCellAnchor editAs="oneCell">
    <xdr:from>
      <xdr:col>0</xdr:col>
      <xdr:colOff>100965</xdr:colOff>
      <xdr:row>0</xdr:row>
      <xdr:rowOff>0</xdr:rowOff>
    </xdr:from>
    <xdr:to>
      <xdr:col>1</xdr:col>
      <xdr:colOff>912051</xdr:colOff>
      <xdr:row>3</xdr:row>
      <xdr:rowOff>93344</xdr:rowOff>
    </xdr:to>
    <xdr:pic>
      <xdr:nvPicPr>
        <xdr:cNvPr id="1080" name="Picture 1079">
          <a:extLst>
            <a:ext uri="{FF2B5EF4-FFF2-40B4-BE49-F238E27FC236}">
              <a16:creationId xmlns:a16="http://schemas.microsoft.com/office/drawing/2014/main" id="{12A945A1-870B-461B-B47A-67BB34BF0AEE}"/>
            </a:ext>
          </a:extLst>
        </xdr:cNvPr>
        <xdr:cNvPicPr>
          <a:picLocks noChangeAspect="1"/>
        </xdr:cNvPicPr>
      </xdr:nvPicPr>
      <xdr:blipFill>
        <a:blip xmlns:r="http://schemas.openxmlformats.org/officeDocument/2006/relationships" r:embed="rId24" cstate="print">
          <a:clrChange>
            <a:clrFrom>
              <a:srgbClr val="1A2949"/>
            </a:clrFrom>
            <a:clrTo>
              <a:srgbClr val="1A2949">
                <a:alpha val="0"/>
              </a:srgbClr>
            </a:clrTo>
          </a:clrChange>
          <a:extLst>
            <a:ext uri="{BEBA8EAE-BF5A-486C-A8C5-ECC9F3942E4B}">
              <a14:imgProps xmlns:a14="http://schemas.microsoft.com/office/drawing/2010/main">
                <a14:imgLayer r:embed="rId25">
                  <a14:imgEffect>
                    <a14:sharpenSoften amount="50000"/>
                  </a14:imgEffect>
                </a14:imgLayer>
              </a14:imgProps>
            </a:ext>
            <a:ext uri="{28A0092B-C50C-407E-A947-70E740481C1C}">
              <a14:useLocalDpi xmlns:a14="http://schemas.microsoft.com/office/drawing/2010/main" val="0"/>
            </a:ext>
          </a:extLst>
        </a:blip>
        <a:stretch>
          <a:fillRect/>
        </a:stretch>
      </xdr:blipFill>
      <xdr:spPr>
        <a:xfrm>
          <a:off x="100965" y="0"/>
          <a:ext cx="1220661" cy="960119"/>
        </a:xfrm>
        <a:prstGeom prst="rect">
          <a:avLst/>
        </a:prstGeom>
        <a:ln>
          <a:noFill/>
        </a:ln>
      </xdr:spPr>
    </xdr:pic>
    <xdr:clientData/>
  </xdr:twoCellAnchor>
  <xdr:twoCellAnchor editAs="oneCell">
    <xdr:from>
      <xdr:col>0</xdr:col>
      <xdr:colOff>93347</xdr:colOff>
      <xdr:row>3</xdr:row>
      <xdr:rowOff>152400</xdr:rowOff>
    </xdr:from>
    <xdr:to>
      <xdr:col>1</xdr:col>
      <xdr:colOff>1066800</xdr:colOff>
      <xdr:row>11</xdr:row>
      <xdr:rowOff>95251</xdr:rowOff>
    </xdr:to>
    <mc:AlternateContent xmlns:mc="http://schemas.openxmlformats.org/markup-compatibility/2006" xmlns:a14="http://schemas.microsoft.com/office/drawing/2010/main">
      <mc:Choice Requires="a14">
        <xdr:graphicFrame macro="">
          <xdr:nvGraphicFramePr>
            <xdr:cNvPr id="1081" name="المحافظة">
              <a:extLst>
                <a:ext uri="{FF2B5EF4-FFF2-40B4-BE49-F238E27FC236}">
                  <a16:creationId xmlns:a16="http://schemas.microsoft.com/office/drawing/2014/main" id="{257BD880-5AE5-47E5-913B-6506F4812E08}"/>
                </a:ext>
              </a:extLst>
            </xdr:cNvPr>
            <xdr:cNvGraphicFramePr/>
          </xdr:nvGraphicFramePr>
          <xdr:xfrm>
            <a:off x="0" y="0"/>
            <a:ext cx="0" cy="0"/>
          </xdr:xfrm>
          <a:graphic>
            <a:graphicData uri="http://schemas.microsoft.com/office/drawing/2010/slicer">
              <sle:slicer xmlns:sle="http://schemas.microsoft.com/office/drawing/2010/slicer" name="المحافظة"/>
            </a:graphicData>
          </a:graphic>
        </xdr:graphicFrame>
      </mc:Choice>
      <mc:Fallback xmlns="">
        <xdr:sp macro="" textlink="">
          <xdr:nvSpPr>
            <xdr:cNvPr id="0" name=""/>
            <xdr:cNvSpPr>
              <a:spLocks noTextEdit="1"/>
            </xdr:cNvSpPr>
          </xdr:nvSpPr>
          <xdr:spPr>
            <a:xfrm>
              <a:off x="97157" y="1019175"/>
              <a:ext cx="1379218" cy="22193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97154</xdr:colOff>
      <xdr:row>11</xdr:row>
      <xdr:rowOff>173355</xdr:rowOff>
    </xdr:from>
    <xdr:to>
      <xdr:col>1</xdr:col>
      <xdr:colOff>933449</xdr:colOff>
      <xdr:row>16</xdr:row>
      <xdr:rowOff>171450</xdr:rowOff>
    </xdr:to>
    <mc:AlternateContent xmlns:mc="http://schemas.openxmlformats.org/markup-compatibility/2006" xmlns:a14="http://schemas.microsoft.com/office/drawing/2010/main">
      <mc:Choice Requires="a14">
        <xdr:graphicFrame macro="">
          <xdr:nvGraphicFramePr>
            <xdr:cNvPr id="1083" name="نوع العميل">
              <a:extLst>
                <a:ext uri="{FF2B5EF4-FFF2-40B4-BE49-F238E27FC236}">
                  <a16:creationId xmlns:a16="http://schemas.microsoft.com/office/drawing/2014/main" id="{7D062D38-B374-4D9C-B149-7A142151B188}"/>
                </a:ext>
              </a:extLst>
            </xdr:cNvPr>
            <xdr:cNvGraphicFramePr/>
          </xdr:nvGraphicFramePr>
          <xdr:xfrm>
            <a:off x="0" y="0"/>
            <a:ext cx="0" cy="0"/>
          </xdr:xfrm>
          <a:graphic>
            <a:graphicData uri="http://schemas.microsoft.com/office/drawing/2010/slicer">
              <sle:slicer xmlns:sle="http://schemas.microsoft.com/office/drawing/2010/slicer" name="نوع العميل"/>
            </a:graphicData>
          </a:graphic>
        </xdr:graphicFrame>
      </mc:Choice>
      <mc:Fallback xmlns="">
        <xdr:sp macro="" textlink="">
          <xdr:nvSpPr>
            <xdr:cNvPr id="0" name=""/>
            <xdr:cNvSpPr>
              <a:spLocks noTextEdit="1"/>
            </xdr:cNvSpPr>
          </xdr:nvSpPr>
          <xdr:spPr>
            <a:xfrm>
              <a:off x="93344" y="3312795"/>
              <a:ext cx="1257300" cy="9067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76201</xdr:colOff>
      <xdr:row>17</xdr:row>
      <xdr:rowOff>28575</xdr:rowOff>
    </xdr:from>
    <xdr:to>
      <xdr:col>1</xdr:col>
      <xdr:colOff>1043940</xdr:colOff>
      <xdr:row>27</xdr:row>
      <xdr:rowOff>171450</xdr:rowOff>
    </xdr:to>
    <mc:AlternateContent xmlns:mc="http://schemas.openxmlformats.org/markup-compatibility/2006" xmlns:a14="http://schemas.microsoft.com/office/drawing/2010/main">
      <mc:Choice Requires="a14">
        <xdr:graphicFrame macro="">
          <xdr:nvGraphicFramePr>
            <xdr:cNvPr id="1084" name="النوع">
              <a:extLst>
                <a:ext uri="{FF2B5EF4-FFF2-40B4-BE49-F238E27FC236}">
                  <a16:creationId xmlns:a16="http://schemas.microsoft.com/office/drawing/2014/main" id="{9D0E1127-EDA6-447F-8C4F-AF3E0AE7CE04}"/>
                </a:ext>
              </a:extLst>
            </xdr:cNvPr>
            <xdr:cNvGraphicFramePr/>
          </xdr:nvGraphicFramePr>
          <xdr:xfrm>
            <a:off x="0" y="0"/>
            <a:ext cx="0" cy="0"/>
          </xdr:xfrm>
          <a:graphic>
            <a:graphicData uri="http://schemas.microsoft.com/office/drawing/2010/slicer">
              <sle:slicer xmlns:sle="http://schemas.microsoft.com/office/drawing/2010/slicer" name="النوع"/>
            </a:graphicData>
          </a:graphic>
        </xdr:graphicFrame>
      </mc:Choice>
      <mc:Fallback xmlns="">
        <xdr:sp macro="" textlink="">
          <xdr:nvSpPr>
            <xdr:cNvPr id="0" name=""/>
            <xdr:cNvSpPr>
              <a:spLocks noTextEdit="1"/>
            </xdr:cNvSpPr>
          </xdr:nvSpPr>
          <xdr:spPr>
            <a:xfrm>
              <a:off x="76201" y="4255770"/>
              <a:ext cx="1377314" cy="1943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339091</xdr:colOff>
      <xdr:row>0</xdr:row>
      <xdr:rowOff>144780</xdr:rowOff>
    </xdr:from>
    <xdr:to>
      <xdr:col>11</xdr:col>
      <xdr:colOff>295315</xdr:colOff>
      <xdr:row>2</xdr:row>
      <xdr:rowOff>314325</xdr:rowOff>
    </xdr:to>
    <xdr:pic macro="[0]!Clear_All_Workbook_Slicer_Filters">
      <xdr:nvPicPr>
        <xdr:cNvPr id="1055" name="Picture 1054">
          <a:extLst>
            <a:ext uri="{FF2B5EF4-FFF2-40B4-BE49-F238E27FC236}">
              <a16:creationId xmlns:a16="http://schemas.microsoft.com/office/drawing/2014/main" id="{45FD5FA2-4487-93FF-19D4-700113DE73AB}"/>
            </a:ext>
          </a:extLst>
        </xdr:cNvPr>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14331316" y="144780"/>
          <a:ext cx="586779" cy="5772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c:userShapes xmlns:c="http://schemas.openxmlformats.org/drawingml/2006/chart">
  <cdr:relSizeAnchor xmlns:cdr="http://schemas.openxmlformats.org/drawingml/2006/chartDrawing">
    <cdr:from>
      <cdr:x>0.22996</cdr:x>
      <cdr:y>0</cdr:y>
    </cdr:from>
    <cdr:to>
      <cdr:x>0.7598</cdr:x>
      <cdr:y>0.16661</cdr:y>
    </cdr:to>
    <cdr:sp macro="" textlink="">
      <cdr:nvSpPr>
        <cdr:cNvPr id="2" name="TextBox 59">
          <a:extLst xmlns:a="http://schemas.openxmlformats.org/drawingml/2006/main">
            <a:ext uri="{FF2B5EF4-FFF2-40B4-BE49-F238E27FC236}">
              <a16:creationId xmlns:a16="http://schemas.microsoft.com/office/drawing/2014/main" id="{819B6D11-BFBA-46C3-8A7F-0CEDBD4F9323}"/>
            </a:ext>
          </a:extLst>
        </cdr:cNvPr>
        <cdr:cNvSpPr txBox="1"/>
      </cdr:nvSpPr>
      <cdr:spPr>
        <a:xfrm xmlns:a="http://schemas.openxmlformats.org/drawingml/2006/main">
          <a:off x="1012825" y="0"/>
          <a:ext cx="2333625" cy="454816"/>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lgn="ctr"/>
          <a:r>
            <a:rPr lang="en-US" sz="1600" b="1" i="0" u="none" strike="noStrike">
              <a:solidFill>
                <a:srgbClr val="1B2A49"/>
              </a:solidFill>
              <a:latin typeface="Calibri"/>
              <a:ea typeface="+mn-ea"/>
              <a:cs typeface="Calibri"/>
            </a:rPr>
            <a:t>Total</a:t>
          </a:r>
          <a:r>
            <a:rPr lang="en-US" sz="1600" b="1" i="0" u="none" strike="noStrike" baseline="0">
              <a:solidFill>
                <a:srgbClr val="1B2A49"/>
              </a:solidFill>
              <a:latin typeface="Calibri"/>
              <a:ea typeface="+mn-ea"/>
              <a:cs typeface="Calibri"/>
            </a:rPr>
            <a:t> Sales By Platform</a:t>
          </a:r>
          <a:endParaRPr lang="en-US" sz="1600" b="1" i="0" u="none" strike="noStrike">
            <a:solidFill>
              <a:srgbClr val="1B2A49"/>
            </a:solidFill>
            <a:latin typeface="Calibri"/>
            <a:ea typeface="+mn-ea"/>
            <a:cs typeface="Calibri"/>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oelga\Desktop\Ismaila%20Courses%20M\All%20Resources\Sales%20Analysis%20Dashboard%20Resources\Dashboard%20design%20for%20sales.xlsx" TargetMode="External"/><Relationship Id="rId1" Type="http://schemas.openxmlformats.org/officeDocument/2006/relationships/externalLinkPath" Target="/Users/oelga/Desktop/Ismaila%20Courses%20M/All%20Resources/Sales%20Analysis%20Dashboard%20Resources/Dashboard%20design%20for%20sa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nalysis"/>
      <sheetName val="Dashboard"/>
    </sheetNames>
    <sheetDataSet>
      <sheetData sheetId="0">
        <row r="18">
          <cell r="B18">
            <v>5</v>
          </cell>
        </row>
      </sheetData>
      <sheetData sheetId="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mar hasan" refreshedDate="45982.708631134257" createdVersion="8" refreshedVersion="8" minRefreshableVersion="3" recordCount="125" xr:uid="{E625A4D3-DA74-487E-B62B-DA76E7500DCA}">
  <cacheSource type="worksheet">
    <worksheetSource name="Main_data"/>
  </cacheSource>
  <cacheFields count="30">
    <cacheField name="ID" numFmtId="0">
      <sharedItems containsSemiMixedTypes="0" containsString="0" containsNumber="1" containsInteger="1" minValue="1" maxValue="127"/>
    </cacheField>
    <cacheField name="أسم العميل" numFmtId="0">
      <sharedItems count="72">
        <s v="خالد عبد القوى"/>
        <s v="محمود"/>
        <s v="سعيد"/>
        <s v="ساندرا"/>
        <s v="زينا"/>
        <s v="شيك هومز"/>
        <s v="احمد"/>
        <s v="yilmaz"/>
        <s v="تاكى"/>
        <s v="على رشوان"/>
        <s v="احمد فخرى"/>
        <s v="لينا"/>
        <s v="فيصل نعيم"/>
        <s v="ellho elkafy"/>
        <s v="صفاء"/>
        <s v="حسن حازم"/>
        <s v="اوسكار راتن"/>
        <s v="يوسف شناوى"/>
        <s v="عبير نور الدين"/>
        <s v="اسراء ابو العنين"/>
        <s v="حسن مغرب"/>
        <s v="على السيد"/>
        <s v="هشام بسيونى"/>
        <s v="ساره وجيه"/>
        <s v="مها"/>
        <s v="بسام الشربينى"/>
        <s v="اسراء ابراهيم"/>
        <s v="طارق كمال"/>
        <s v="ديفد بهجت"/>
        <s v="اياد"/>
        <s v="عبد الله سيد"/>
        <s v="كينج سونا"/>
        <s v="احمد خالد"/>
        <s v="ساره"/>
        <s v="احمد ايمن"/>
        <s v="مصطفي غنيم"/>
        <s v="رامى"/>
        <s v="فؤاد المنسي"/>
        <s v="mohannad"/>
        <s v="اسامه"/>
        <s v="ولاء بدوى"/>
        <s v="عبد الرحمن يسري"/>
        <s v="الحج محمد السويس"/>
        <s v="keira"/>
        <s v="tarek"/>
        <s v="reem"/>
        <s v="فاطمه محمد"/>
        <s v="بولا هومزمارت"/>
        <s v="محمد شكرى"/>
        <s v="منزلى"/>
        <s v="حماده"/>
        <s v="صفاء عبد الباقي"/>
        <s v="رندا العامرى"/>
        <s v="بافلى هانى"/>
        <s v="رنا ميلاد"/>
        <s v="احمد عبد الستار"/>
        <s v="هناء اسامه"/>
        <s v="مريم عنان"/>
        <s v="حمدى ذكرى"/>
        <s v="وائل صادق"/>
        <s v="ميار خورشد"/>
        <s v="حسام عبدون"/>
        <s v="رحاب"/>
        <s v="Mohamed Ayman"/>
        <s v="عمرو الأسود"/>
        <s v="هشام سامى"/>
        <s v="محمد حمدى"/>
        <s v="محمد ناجى"/>
        <s v="نور"/>
        <s v="تامر"/>
        <s v="محمد عادل"/>
        <s v="هبه عطيه"/>
      </sharedItems>
    </cacheField>
    <cacheField name="العنوان" numFmtId="0">
      <sharedItems/>
    </cacheField>
    <cacheField name="المحافظة" numFmtId="0">
      <sharedItems count="10">
        <s v="الجيزة"/>
        <s v="الإسكندرية"/>
        <s v="مطروح"/>
        <s v="البحر الأحمر"/>
        <s v="غير محدد"/>
        <s v="القاهرة"/>
        <s v="القليوبية"/>
        <s v="السويس"/>
        <s v="أسيوط"/>
        <s v="غير محدد " u="1"/>
      </sharedItems>
    </cacheField>
    <cacheField name="نوع العميل" numFmtId="0">
      <sharedItems count="2">
        <s v="حساب أفراد"/>
        <s v="حساب شركات"/>
      </sharedItems>
    </cacheField>
    <cacheField name="منصة البيع" numFmtId="0">
      <sharedItems count="8">
        <s v="هومزمارت"/>
        <s v="شيك هومز"/>
        <s v="فيس بوك"/>
        <s v="تاكى"/>
        <s v="اوسكار ريتن"/>
        <s v="السويس"/>
        <s v="منزلى"/>
        <s v="كيمت"/>
      </sharedItems>
    </cacheField>
    <cacheField name="النوع" numFmtId="0">
      <sharedItems count="6">
        <s v="سرير"/>
        <s v="ترابيزه"/>
        <s v="كنبة"/>
        <s v="ركنة"/>
        <s v="كرسى"/>
        <s v="شيزلونج"/>
      </sharedItems>
    </cacheField>
    <cacheField name="المواصفات" numFmtId="0">
      <sharedItems containsBlank="1"/>
    </cacheField>
    <cacheField name="الاسم" numFmtId="0">
      <sharedItems containsBlank="1"/>
    </cacheField>
    <cacheField name="المقاس" numFmtId="0">
      <sharedItems containsSemiMixedTypes="0" containsString="0" containsNumber="1" containsInteger="1" minValue="0" maxValue="160"/>
    </cacheField>
    <cacheField name="اللون" numFmtId="0">
      <sharedItems count="13">
        <s v="ابيض"/>
        <s v="اسود"/>
        <s v="ازرق"/>
        <s v="غير محدد"/>
        <s v="رمادى"/>
        <s v="بنفسجى"/>
        <s v="اسود وبنى"/>
        <s v="ملون"/>
        <s v="بينك"/>
        <s v="الوان"/>
        <s v="اسزد"/>
        <s v="نبيتى"/>
        <s v="دهبي"/>
      </sharedItems>
    </cacheField>
    <cacheField name="لون القماش" numFmtId="0">
      <sharedItems/>
    </cacheField>
    <cacheField name="المنتج" numFmtId="0">
      <sharedItems/>
    </cacheField>
    <cacheField name="الكمية" numFmtId="0">
      <sharedItems containsSemiMixedTypes="0" containsString="0" containsNumber="1" containsInteger="1" minValue="1" maxValue="4"/>
    </cacheField>
    <cacheField name="سعر البيع" numFmtId="0">
      <sharedItems containsSemiMixedTypes="0" containsString="0" containsNumber="1" minValue="4020" maxValue="22000"/>
    </cacheField>
    <cacheField name="طريقه الدفع" numFmtId="0">
      <sharedItems/>
    </cacheField>
    <cacheField name="ميعاد الطلب" numFmtId="22">
      <sharedItems containsNonDate="0" containsDate="1" containsString="0" containsBlank="1" minDate="2024-07-27T00:00:00" maxDate="2024-12-15T00:00:00" count="56">
        <d v="2024-07-27T00:00:00"/>
        <d v="2024-07-28T00:00:00"/>
        <d v="2024-08-25T00:00:00"/>
        <d v="2024-08-16T00:00:00"/>
        <d v="2024-08-14T00:00:00"/>
        <d v="2024-08-17T00:00:00"/>
        <d v="2024-08-19T00:00:00"/>
        <m/>
        <d v="2024-09-01T00:00:00"/>
        <d v="2024-09-05T00:00:00"/>
        <d v="2024-09-04T00:00:00"/>
        <d v="2024-09-03T00:00:00"/>
        <d v="2024-09-06T00:00:00"/>
        <d v="2024-09-09T00:00:00"/>
        <d v="2024-09-12T00:00:00"/>
        <d v="2024-09-14T00:00:00"/>
        <d v="2024-09-13T00:00:00"/>
        <d v="2024-09-15T00:00:00"/>
        <d v="2024-09-16T00:00:00"/>
        <d v="2024-09-21T00:00:00"/>
        <d v="2024-09-23T00:00:00"/>
        <d v="2024-09-26T00:00:00"/>
        <d v="2024-09-29T00:00:00"/>
        <d v="2024-10-01T00:00:00"/>
        <d v="2024-10-13T00:00:00"/>
        <d v="2024-10-16T00:00:00"/>
        <d v="2024-10-17T00:00:00"/>
        <d v="2024-10-22T00:00:00"/>
        <d v="2024-10-21T00:00:00"/>
        <d v="2024-10-24T00:00:00"/>
        <d v="2024-10-26T00:00:00"/>
        <d v="2024-10-28T00:00:00"/>
        <d v="2024-11-11T00:00:00"/>
        <d v="2024-11-10T00:00:00"/>
        <d v="2024-11-12T00:00:00"/>
        <d v="2024-11-14T00:00:00"/>
        <d v="2024-11-17T00:00:00"/>
        <d v="2024-11-20T00:00:00"/>
        <d v="2024-11-24T00:00:00"/>
        <d v="2024-11-19T00:00:00"/>
        <d v="2024-11-27T00:00:00"/>
        <d v="2024-11-29T00:00:00"/>
        <d v="2024-12-02T00:00:00"/>
        <d v="2024-12-01T00:00:00"/>
        <d v="2024-12-09T00:00:00"/>
        <d v="2024-12-12T00:00:00"/>
        <d v="2024-10-03T00:00:00"/>
        <d v="2024-10-08T00:00:00"/>
        <d v="2024-10-07T00:00:00"/>
        <d v="2024-10-10T00:00:00"/>
        <d v="2024-10-20T00:00:00"/>
        <d v="2024-11-08T00:00:00"/>
        <d v="2024-11-22T00:00:00"/>
        <d v="2024-11-30T00:00:00"/>
        <d v="2024-12-04T00:00:00"/>
        <d v="2024-12-14T00:00:00"/>
      </sharedItems>
      <fieldGroup par="29"/>
    </cacheField>
    <cacheField name="ميعاد التسليم" numFmtId="22">
      <sharedItems containsNonDate="0" containsDate="1" containsString="0" containsBlank="1" minDate="2024-08-16T00:00:00" maxDate="2025-01-06T00:00:00" count="57">
        <d v="2024-08-16T00:00:00"/>
        <d v="2024-09-07T00:00:00"/>
        <d v="2024-08-31T00:00:00"/>
        <d v="2024-09-03T00:00:00"/>
        <d v="2024-08-20T00:00:00"/>
        <d v="2024-09-01T00:00:00"/>
        <m/>
        <d v="2024-09-15T00:00:00"/>
        <d v="2024-09-16T00:00:00"/>
        <d v="2024-09-14T00:00:00"/>
        <d v="2024-09-18T00:00:00"/>
        <d v="2024-10-16T00:00:00"/>
        <d v="2024-09-17T00:00:00"/>
        <d v="2024-09-19T00:00:00"/>
        <d v="2024-09-21T00:00:00"/>
        <d v="2024-09-22T00:00:00"/>
        <d v="2024-09-26T00:00:00"/>
        <d v="2024-09-27T00:00:00"/>
        <d v="2024-09-29T00:00:00"/>
        <d v="2024-09-30T00:00:00"/>
        <d v="2024-10-29T00:00:00"/>
        <d v="2024-11-20T00:00:00"/>
        <d v="2024-10-30T00:00:00"/>
        <d v="2024-10-05T00:00:00"/>
        <d v="2024-10-08T00:00:00"/>
        <d v="2024-11-10T00:00:00"/>
        <d v="2024-10-14T00:00:00"/>
        <d v="2024-10-20T00:00:00"/>
        <d v="2024-10-12T00:00:00"/>
        <d v="2024-10-09T00:00:00"/>
        <d v="2024-12-17T00:00:00"/>
        <d v="2024-12-19T00:00:00"/>
        <d v="2024-12-22T00:00:00"/>
        <d v="2024-11-12T00:00:00"/>
        <d v="2024-11-14T00:00:00"/>
        <d v="2024-11-16T00:00:00"/>
        <d v="2024-11-11T00:00:00"/>
        <d v="2024-11-26T00:00:00"/>
        <d v="2024-11-22T00:00:00"/>
        <d v="2024-11-24T00:00:00"/>
        <d v="2024-11-30T00:00:00"/>
        <d v="2024-11-27T00:00:00"/>
        <d v="2024-11-28T00:00:00"/>
        <d v="2024-12-05T00:00:00"/>
        <d v="2024-12-08T00:00:00"/>
        <d v="2024-12-10T00:00:00"/>
        <d v="2024-12-15T00:00:00"/>
        <d v="2024-12-14T00:00:00"/>
        <d v="2024-12-31T00:00:00"/>
        <d v="2024-12-28T00:00:00"/>
        <d v="2024-11-17T00:00:00"/>
        <d v="2024-10-31T00:00:00"/>
        <d v="2024-12-03T00:00:00"/>
        <d v="2024-12-02T00:00:00"/>
        <d v="2024-12-12T00:00:00"/>
        <d v="2024-12-24T00:00:00"/>
        <d v="2025-01-05T00:00:00"/>
      </sharedItems>
      <fieldGroup par="27"/>
    </cacheField>
    <cacheField name="تاريخ التسليم" numFmtId="22">
      <sharedItems containsNonDate="0" containsDate="1" containsString="0" containsBlank="1" minDate="2024-08-10T00:00:00" maxDate="2024-12-30T00:00:00" count="43">
        <d v="2024-08-10T00:00:00"/>
        <d v="2024-08-11T00:00:00"/>
        <m/>
        <d v="2024-08-27T00:00:00"/>
        <d v="2024-09-05T00:00:00"/>
        <d v="2024-08-19T00:00:00"/>
        <d v="2024-09-10T00:00:00"/>
        <d v="2024-09-17T00:00:00"/>
        <d v="2024-09-08T00:00:00"/>
        <d v="2024-09-25T00:00:00"/>
        <d v="2024-09-15T00:00:00"/>
        <d v="2024-09-21T00:00:00"/>
        <d v="2024-09-22T00:00:00"/>
        <d v="2024-09-24T00:00:00"/>
        <d v="2024-10-03T00:00:00"/>
        <d v="2024-10-02T00:00:00"/>
        <d v="2024-10-16T00:00:00"/>
        <d v="2024-10-20T00:00:00"/>
        <d v="2024-10-15T00:00:00"/>
        <d v="2024-10-04T00:00:00"/>
        <d v="2024-10-21T00:00:00"/>
        <d v="2024-10-30T00:00:00"/>
        <d v="2024-10-19T00:00:00"/>
        <d v="2024-10-13T00:00:00"/>
        <d v="2024-10-17T00:00:00"/>
        <d v="2024-10-01T00:00:00"/>
        <d v="2024-11-14T00:00:00"/>
        <d v="2024-10-12T00:00:00"/>
        <d v="2024-10-10T00:00:00"/>
        <d v="2024-10-09T00:00:00"/>
        <d v="2024-11-02T00:00:00"/>
        <d v="2024-12-03T00:00:00"/>
        <d v="2024-11-18T00:00:00"/>
        <d v="2024-11-21T00:00:00"/>
        <d v="2024-11-27T00:00:00"/>
        <d v="2024-11-25T00:00:00"/>
        <d v="2024-11-26T00:00:00"/>
        <d v="2024-12-10T00:00:00"/>
        <d v="2024-11-20T00:00:00"/>
        <d v="2024-12-23T00:00:00"/>
        <d v="2024-12-12T00:00:00"/>
        <d v="2024-12-29T00:00:00"/>
        <d v="2024-12-19T00:00:00"/>
      </sharedItems>
      <fieldGroup par="24"/>
    </cacheField>
    <cacheField name="Subtraction" numFmtId="0">
      <sharedItems containsString="0" containsBlank="1" containsNumber="1" containsInteger="1" minValue="1" maxValue="59"/>
    </cacheField>
    <cacheField name="المسئول عن التسليم" numFmtId="0">
      <sharedItems/>
    </cacheField>
    <cacheField name="الحالة" numFmtId="0">
      <sharedItems count="4">
        <s v="تم التسليم"/>
        <s v="فشل التسليم"/>
        <s v="ملغي"/>
        <s v="مرتجع"/>
      </sharedItems>
    </cacheField>
    <cacheField name="Delivery Performance" numFmtId="0">
      <sharedItems count="3">
        <s v="On Time"/>
        <s v="Cancelled"/>
        <s v="Late"/>
      </sharedItems>
    </cacheField>
    <cacheField name="Days (تاريخ التسليم)" numFmtId="0" databaseField="0">
      <fieldGroup base="18">
        <rangePr groupBy="days" startDate="2024-08-10T00:00:00" endDate="2024-12-30T00:00:00"/>
        <groupItems count="368">
          <s v="&lt;10/08/2024"/>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30/12/2024"/>
        </groupItems>
      </fieldGroup>
    </cacheField>
    <cacheField name="Months (تاريخ التسليم)" numFmtId="0" databaseField="0">
      <fieldGroup base="18">
        <rangePr groupBy="months" startDate="2024-08-10T00:00:00" endDate="2024-12-30T00:00:00"/>
        <groupItems count="14">
          <s v="&lt;10/08/2024"/>
          <s v="Jan"/>
          <s v="Feb"/>
          <s v="Mar"/>
          <s v="Apr"/>
          <s v="May"/>
          <s v="Jun"/>
          <s v="Jul"/>
          <s v="Aug"/>
          <s v="Sep"/>
          <s v="Oct"/>
          <s v="Nov"/>
          <s v="Dec"/>
          <s v="&gt;30/12/2024"/>
        </groupItems>
      </fieldGroup>
    </cacheField>
    <cacheField name="Months (ميعاد التسليم)" numFmtId="0" databaseField="0">
      <fieldGroup base="17">
        <rangePr groupBy="months" startDate="2024-08-16T00:00:00" endDate="2025-01-06T00:00:00"/>
        <groupItems count="14">
          <s v="&lt;16/08/2024"/>
          <s v="Jan"/>
          <s v="Feb"/>
          <s v="Mar"/>
          <s v="Apr"/>
          <s v="May"/>
          <s v="Jun"/>
          <s v="Jul"/>
          <s v="Aug"/>
          <s v="Sep"/>
          <s v="Oct"/>
          <s v="Nov"/>
          <s v="Dec"/>
          <s v="&gt;06/01/2025"/>
        </groupItems>
      </fieldGroup>
    </cacheField>
    <cacheField name="Quarters (ميعاد التسليم)" numFmtId="0" databaseField="0">
      <fieldGroup base="17">
        <rangePr groupBy="quarters" startDate="2024-08-16T00:00:00" endDate="2025-01-06T00:00:00"/>
        <groupItems count="6">
          <s v="&lt;16/08/2024"/>
          <s v="Qtr1"/>
          <s v="Qtr2"/>
          <s v="Qtr3"/>
          <s v="Qtr4"/>
          <s v="&gt;06/01/2025"/>
        </groupItems>
      </fieldGroup>
    </cacheField>
    <cacheField name="Years (ميعاد التسليم)" numFmtId="0" databaseField="0">
      <fieldGroup base="17">
        <rangePr groupBy="years" startDate="2024-08-16T00:00:00" endDate="2025-01-06T00:00:00"/>
        <groupItems count="4">
          <s v="&lt;16/08/2024"/>
          <s v="2024"/>
          <s v="2025"/>
          <s v="&gt;06/01/2025"/>
        </groupItems>
      </fieldGroup>
    </cacheField>
    <cacheField name="Days (ميعاد الطلب)" numFmtId="0" databaseField="0">
      <fieldGroup base="16">
        <rangePr groupBy="days" startDate="2024-07-27T00:00:00" endDate="2024-12-15T00:00:00"/>
        <groupItems count="368">
          <s v="&lt;27/07/2024"/>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5/12/2024"/>
        </groupItems>
      </fieldGroup>
    </cacheField>
    <cacheField name="Months (ميعاد الطلب)" numFmtId="0" databaseField="0">
      <fieldGroup base="16">
        <rangePr groupBy="months" startDate="2024-07-27T00:00:00" endDate="2024-12-15T00:00:00"/>
        <groupItems count="14">
          <s v="&lt;27/07/2024"/>
          <s v="Jan"/>
          <s v="Feb"/>
          <s v="Mar"/>
          <s v="Apr"/>
          <s v="May"/>
          <s v="Jun"/>
          <s v="Jul"/>
          <s v="Aug"/>
          <s v="Sep"/>
          <s v="Oct"/>
          <s v="Nov"/>
          <s v="Dec"/>
          <s v="&gt;15/12/2024"/>
        </groupItems>
      </fieldGroup>
    </cacheField>
  </cacheFields>
  <extLst>
    <ext xmlns:x14="http://schemas.microsoft.com/office/spreadsheetml/2009/9/main" uri="{725AE2AE-9491-48be-B2B4-4EB974FC3084}">
      <x14:pivotCacheDefinition pivotCacheId="1441966489"/>
    </ext>
    <ext xmlns:xlpar="http://schemas.microsoft.com/office/spreadsheetml/2024/pivotAutoRefresh" uri="{DA1E1B2C-A1EE-400B-A0BD-712935E3C959}">
      <xlpar:autoRefresh>1</xlpar:autoRefresh>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5">
  <r>
    <n v="1"/>
    <x v="0"/>
    <s v="العجوزه - الجيزه"/>
    <x v="0"/>
    <x v="0"/>
    <x v="0"/>
    <x v="0"/>
    <s v="منطبق"/>
    <m/>
    <n v="0"/>
    <x v="0"/>
    <s v="غير محدد"/>
    <s v="سرير منطبق الحديد ابيض والقماش ابيض"/>
    <n v="1"/>
    <n v="10160"/>
    <s v="مسبق الدفع"/>
    <x v="0"/>
    <x v="0"/>
    <x v="0"/>
    <n v="14"/>
    <s v=" شركه شحن"/>
    <x v="0"/>
    <x v="0"/>
  </r>
  <r>
    <n v="2"/>
    <x v="1"/>
    <s v="سموحه - اسكندريه"/>
    <x v="1"/>
    <x v="0"/>
    <x v="0"/>
    <x v="0"/>
    <s v="منطبق"/>
    <m/>
    <n v="0"/>
    <x v="1"/>
    <s v="غير محدد"/>
    <s v="سرير منطبق اسود والقماش اسود"/>
    <n v="1"/>
    <n v="10160"/>
    <s v="كاش"/>
    <x v="1"/>
    <x v="0"/>
    <x v="1"/>
    <n v="14"/>
    <s v=" شركه شحن"/>
    <x v="0"/>
    <x v="0"/>
  </r>
  <r>
    <n v="3"/>
    <x v="2"/>
    <s v="سيدى عبد الرحمن - الساحل الشمالى"/>
    <x v="2"/>
    <x v="0"/>
    <x v="0"/>
    <x v="0"/>
    <s v="دورين"/>
    <s v="كيفنج"/>
    <n v="90"/>
    <x v="2"/>
    <s v="غير محدد"/>
    <s v="سرير كيفينج مقاس 90 لون ازرق"/>
    <n v="1"/>
    <n v="11455"/>
    <s v="كاش"/>
    <x v="0"/>
    <x v="0"/>
    <x v="2"/>
    <m/>
    <s v="فشل التسليم"/>
    <x v="1"/>
    <x v="1"/>
  </r>
  <r>
    <n v="4"/>
    <x v="3"/>
    <s v="الغردقه"/>
    <x v="3"/>
    <x v="0"/>
    <x v="0"/>
    <x v="1"/>
    <m/>
    <m/>
    <n v="0"/>
    <x v="3"/>
    <s v="غير محدد"/>
    <s v="ترابيزه قهوه متحركه"/>
    <n v="1"/>
    <n v="8642"/>
    <s v="مسبق الدفع"/>
    <x v="2"/>
    <x v="1"/>
    <x v="3"/>
    <n v="2"/>
    <s v=" شركه شحن"/>
    <x v="0"/>
    <x v="0"/>
  </r>
  <r>
    <n v="5"/>
    <x v="4"/>
    <s v="سيدى عبد الرحمن - الساحل الشمالى"/>
    <x v="2"/>
    <x v="0"/>
    <x v="0"/>
    <x v="0"/>
    <s v="دورين"/>
    <s v="نوفال"/>
    <n v="100"/>
    <x v="4"/>
    <s v="غير محدد"/>
    <s v="سرير نوفال متر رمادى"/>
    <n v="1"/>
    <n v="12833"/>
    <s v="كاش"/>
    <x v="3"/>
    <x v="2"/>
    <x v="2"/>
    <m/>
    <s v="فشل التسليم"/>
    <x v="1"/>
    <x v="1"/>
  </r>
  <r>
    <n v="6"/>
    <x v="5"/>
    <s v="غير محدد"/>
    <x v="4"/>
    <x v="1"/>
    <x v="1"/>
    <x v="2"/>
    <s v="4*1"/>
    <m/>
    <n v="120"/>
    <x v="4"/>
    <s v="غير محدد"/>
    <s v="كنبه سرير رمادى"/>
    <n v="1"/>
    <n v="14550"/>
    <s v="مسبق الدفع"/>
    <x v="4"/>
    <x v="3"/>
    <x v="4"/>
    <n v="22"/>
    <s v=" شركه شحن"/>
    <x v="0"/>
    <x v="2"/>
  </r>
  <r>
    <n v="7"/>
    <x v="6"/>
    <s v="التجمع الخامس"/>
    <x v="5"/>
    <x v="0"/>
    <x v="2"/>
    <x v="2"/>
    <s v="4*1"/>
    <m/>
    <n v="120"/>
    <x v="4"/>
    <s v="غير محدد"/>
    <s v="كنبه سرير رمادى"/>
    <n v="1"/>
    <n v="12000"/>
    <s v="كاش"/>
    <x v="5"/>
    <x v="4"/>
    <x v="5"/>
    <n v="2"/>
    <s v=" شركه شحن"/>
    <x v="0"/>
    <x v="0"/>
  </r>
  <r>
    <n v="8"/>
    <x v="7"/>
    <s v="٦ اكتوبر الجيزه"/>
    <x v="0"/>
    <x v="0"/>
    <x v="0"/>
    <x v="0"/>
    <s v="فردى"/>
    <m/>
    <n v="0"/>
    <x v="0"/>
    <s v="غير محدد"/>
    <s v="سرير فردى ابيض"/>
    <n v="1"/>
    <n v="7228"/>
    <s v="مسبق الدفع"/>
    <x v="2"/>
    <x v="3"/>
    <x v="6"/>
    <n v="16"/>
    <s v=" شركه شحن"/>
    <x v="0"/>
    <x v="2"/>
  </r>
  <r>
    <n v="9"/>
    <x v="8"/>
    <s v="العباسيه"/>
    <x v="5"/>
    <x v="0"/>
    <x v="3"/>
    <x v="3"/>
    <s v="ركنة بسرير"/>
    <m/>
    <n v="0"/>
    <x v="3"/>
    <s v="غير محدد"/>
    <s v="ركنه"/>
    <n v="1"/>
    <n v="22000"/>
    <s v="كاش"/>
    <x v="6"/>
    <x v="5"/>
    <x v="7"/>
    <n v="29"/>
    <s v="تم التسليم"/>
    <x v="0"/>
    <x v="2"/>
  </r>
  <r>
    <n v="10"/>
    <x v="8"/>
    <s v="العباسيه"/>
    <x v="5"/>
    <x v="0"/>
    <x v="3"/>
    <x v="2"/>
    <s v="سحارة"/>
    <m/>
    <n v="0"/>
    <x v="3"/>
    <s v="غير محدد"/>
    <s v="٢ كنبه سحاره بمخدع"/>
    <n v="2"/>
    <n v="16000"/>
    <s v="كاش"/>
    <x v="7"/>
    <x v="6"/>
    <x v="2"/>
    <m/>
    <s v="ملغي"/>
    <x v="2"/>
    <x v="1"/>
  </r>
  <r>
    <n v="11"/>
    <x v="8"/>
    <s v="العباسيه"/>
    <x v="5"/>
    <x v="0"/>
    <x v="3"/>
    <x v="2"/>
    <s v="سحارة"/>
    <m/>
    <n v="0"/>
    <x v="3"/>
    <s v="غير محدد"/>
    <s v="٢ كنبه سحاره بدون مخدع"/>
    <n v="2"/>
    <n v="6000"/>
    <s v="كاش"/>
    <x v="2"/>
    <x v="7"/>
    <x v="7"/>
    <n v="23"/>
    <s v=" محمود على"/>
    <x v="0"/>
    <x v="2"/>
  </r>
  <r>
    <n v="12"/>
    <x v="8"/>
    <s v="العباسيه"/>
    <x v="5"/>
    <x v="0"/>
    <x v="3"/>
    <x v="2"/>
    <s v="سحارة"/>
    <m/>
    <n v="0"/>
    <x v="3"/>
    <s v="غير محدد"/>
    <s v="٢ كنبه سحاره بدون مخدع"/>
    <n v="2"/>
    <n v="6000"/>
    <s v="كاش"/>
    <x v="2"/>
    <x v="7"/>
    <x v="7"/>
    <n v="23"/>
    <s v=" محمود على"/>
    <x v="0"/>
    <x v="2"/>
  </r>
  <r>
    <n v="13"/>
    <x v="9"/>
    <s v="مصر الجديده"/>
    <x v="5"/>
    <x v="0"/>
    <x v="0"/>
    <x v="0"/>
    <s v="دورين"/>
    <s v="نوفال"/>
    <n v="80"/>
    <x v="0"/>
    <s v="غير محدد"/>
    <s v="سرير نوفال ابيض مقاس ٨٠"/>
    <n v="1"/>
    <n v="10499"/>
    <s v="كاش"/>
    <x v="8"/>
    <x v="8"/>
    <x v="8"/>
    <n v="7"/>
    <s v=" شركه شحن"/>
    <x v="0"/>
    <x v="0"/>
  </r>
  <r>
    <n v="14"/>
    <x v="10"/>
    <s v="٦ اكتوبر الجيزه"/>
    <x v="0"/>
    <x v="0"/>
    <x v="0"/>
    <x v="0"/>
    <s v="فردى"/>
    <s v="نوفال"/>
    <n v="80"/>
    <x v="0"/>
    <s v="غير محدد"/>
    <s v="سرير فردى خشب موسكى الحديد ابيض مقاس ٨٠"/>
    <n v="1"/>
    <n v="7295"/>
    <s v="كاش"/>
    <x v="9"/>
    <x v="9"/>
    <x v="2"/>
    <m/>
    <s v="ملغي"/>
    <x v="2"/>
    <x v="1"/>
  </r>
  <r>
    <n v="15"/>
    <x v="11"/>
    <s v="المقطم"/>
    <x v="5"/>
    <x v="0"/>
    <x v="0"/>
    <x v="1"/>
    <s v="2 ميكانزم"/>
    <m/>
    <n v="0"/>
    <x v="3"/>
    <s v="غير محدد"/>
    <s v="ترابيزه قهوه علويه جديده"/>
    <n v="1"/>
    <n v="7849"/>
    <s v="مسبق الدفع"/>
    <x v="10"/>
    <x v="8"/>
    <x v="9"/>
    <n v="21"/>
    <s v=" شركه شحن"/>
    <x v="3"/>
    <x v="2"/>
  </r>
  <r>
    <n v="16"/>
    <x v="12"/>
    <s v="التجمع الخامس"/>
    <x v="5"/>
    <x v="0"/>
    <x v="4"/>
    <x v="0"/>
    <s v="دورين"/>
    <s v="كيفنج"/>
    <n v="120"/>
    <x v="1"/>
    <s v="غير محدد"/>
    <s v="٢ سرير كيفنج ١٢٠ اسود"/>
    <n v="2"/>
    <n v="6180"/>
    <s v="كاش"/>
    <x v="11"/>
    <x v="8"/>
    <x v="10"/>
    <n v="12"/>
    <s v=" محمود على"/>
    <x v="0"/>
    <x v="0"/>
  </r>
  <r>
    <n v="17"/>
    <x v="12"/>
    <s v="التجمع الخامس"/>
    <x v="5"/>
    <x v="0"/>
    <x v="4"/>
    <x v="0"/>
    <s v="دورين"/>
    <s v="كيفنج"/>
    <n v="120"/>
    <x v="1"/>
    <s v="غير محدد"/>
    <s v="٢ سرير كيفنج ١٢٠ اسود"/>
    <n v="2"/>
    <n v="6180"/>
    <s v="كاش"/>
    <x v="11"/>
    <x v="8"/>
    <x v="10"/>
    <n v="12"/>
    <s v=" محمود على"/>
    <x v="0"/>
    <x v="0"/>
  </r>
  <r>
    <n v="18"/>
    <x v="13"/>
    <s v="مدينه نصر"/>
    <x v="5"/>
    <x v="0"/>
    <x v="0"/>
    <x v="0"/>
    <s v="دورين"/>
    <s v="كينج"/>
    <n v="80"/>
    <x v="0"/>
    <s v="غير محدد"/>
    <s v="سرير كينج ابيض مقاس ٨٠ التصميم الجديد"/>
    <n v="1"/>
    <n v="11199"/>
    <s v="كاش"/>
    <x v="10"/>
    <x v="10"/>
    <x v="2"/>
    <m/>
    <s v="ملغي"/>
    <x v="2"/>
    <x v="1"/>
  </r>
  <r>
    <n v="19"/>
    <x v="6"/>
    <s v="القاهره الجديده"/>
    <x v="5"/>
    <x v="0"/>
    <x v="0"/>
    <x v="0"/>
    <s v="فردى"/>
    <s v="فورجينا"/>
    <n v="80"/>
    <x v="0"/>
    <s v="غير محدد"/>
    <s v="٤سرير فردى خشب موسكى الحديد ابيض مقاس ٨٠"/>
    <n v="4"/>
    <n v="7987"/>
    <s v="مسبق الدفع"/>
    <x v="12"/>
    <x v="8"/>
    <x v="11"/>
    <n v="15"/>
    <s v=" محمود على"/>
    <x v="0"/>
    <x v="2"/>
  </r>
  <r>
    <n v="20"/>
    <x v="8"/>
    <s v="العباسيه"/>
    <x v="5"/>
    <x v="0"/>
    <x v="3"/>
    <x v="4"/>
    <s v="فنيسيا"/>
    <m/>
    <n v="0"/>
    <x v="3"/>
    <s v="غير محدد"/>
    <s v="٢ فوتيه فنيسيا"/>
    <n v="2"/>
    <n v="9300"/>
    <s v="كاش"/>
    <x v="10"/>
    <x v="7"/>
    <x v="7"/>
    <n v="13"/>
    <s v=" محمود على"/>
    <x v="0"/>
    <x v="2"/>
  </r>
  <r>
    <n v="21"/>
    <x v="6"/>
    <s v="القاهره الجديده"/>
    <x v="5"/>
    <x v="0"/>
    <x v="0"/>
    <x v="0"/>
    <s v="فردى"/>
    <s v="فورجينا"/>
    <n v="80"/>
    <x v="0"/>
    <s v="غير محدد"/>
    <s v="٤سرير فردى خشب موسكى الحديد ابيض مقاس ٨٠"/>
    <n v="4"/>
    <n v="7987"/>
    <s v="مسبق الدفع"/>
    <x v="12"/>
    <x v="8"/>
    <x v="11"/>
    <n v="15"/>
    <s v=" محمود على"/>
    <x v="0"/>
    <x v="2"/>
  </r>
  <r>
    <n v="22"/>
    <x v="6"/>
    <s v="القاهره الجديده"/>
    <x v="5"/>
    <x v="0"/>
    <x v="0"/>
    <x v="0"/>
    <s v="فردى"/>
    <s v="فورجينا"/>
    <n v="80"/>
    <x v="0"/>
    <s v="غير محدد"/>
    <s v="٤سرير فردى خشب موسكى الحديد ابيض مقاس ٨٠"/>
    <n v="4"/>
    <n v="7987"/>
    <s v="مسبق الدفع"/>
    <x v="12"/>
    <x v="8"/>
    <x v="11"/>
    <n v="15"/>
    <s v=" محمود على"/>
    <x v="0"/>
    <x v="2"/>
  </r>
  <r>
    <n v="23"/>
    <x v="6"/>
    <s v="القاهره الجديده"/>
    <x v="5"/>
    <x v="0"/>
    <x v="0"/>
    <x v="0"/>
    <s v="فردى"/>
    <s v="فورجينا"/>
    <n v="80"/>
    <x v="0"/>
    <s v="غير محدد"/>
    <s v="٤سرير فردى خشب موسكى الحديد ابيض مقاس ٨٠"/>
    <n v="4"/>
    <n v="7987"/>
    <s v="مسبق الدفع"/>
    <x v="12"/>
    <x v="8"/>
    <x v="11"/>
    <n v="15"/>
    <s v=" محمود على"/>
    <x v="0"/>
    <x v="2"/>
  </r>
  <r>
    <n v="24"/>
    <x v="14"/>
    <s v="المعادى"/>
    <x v="5"/>
    <x v="0"/>
    <x v="0"/>
    <x v="1"/>
    <s v="2 ميكانزم"/>
    <m/>
    <n v="0"/>
    <x v="3"/>
    <s v="غير محدد"/>
    <s v="ترابيزه قهوه علويه جديده"/>
    <n v="1"/>
    <n v="8849"/>
    <s v="مسبق الدفع"/>
    <x v="11"/>
    <x v="11"/>
    <x v="2"/>
    <m/>
    <s v="ملغي"/>
    <x v="2"/>
    <x v="1"/>
  </r>
  <r>
    <n v="25"/>
    <x v="15"/>
    <s v="٦ اكتوبر الجيزه"/>
    <x v="0"/>
    <x v="0"/>
    <x v="0"/>
    <x v="0"/>
    <s v="فردى"/>
    <s v="اسبانى"/>
    <n v="120"/>
    <x v="0"/>
    <s v="غير محدد"/>
    <s v="سرير اسبانى ابيض ١٢٠"/>
    <n v="1"/>
    <n v="10987"/>
    <s v="مسبق الدفع"/>
    <x v="13"/>
    <x v="12"/>
    <x v="11"/>
    <n v="12"/>
    <s v=" محمود على"/>
    <x v="0"/>
    <x v="2"/>
  </r>
  <r>
    <n v="26"/>
    <x v="5"/>
    <s v="غير محدد"/>
    <x v="4"/>
    <x v="1"/>
    <x v="1"/>
    <x v="0"/>
    <s v="دورين"/>
    <s v="كينج"/>
    <n v="100"/>
    <x v="0"/>
    <s v="غير محدد"/>
    <s v="سرير كينج ابيض"/>
    <n v="1"/>
    <n v="9208"/>
    <s v="كاش"/>
    <x v="8"/>
    <x v="13"/>
    <x v="11"/>
    <n v="20"/>
    <s v=" محمود على"/>
    <x v="0"/>
    <x v="2"/>
  </r>
  <r>
    <n v="27"/>
    <x v="5"/>
    <s v="غير محدد"/>
    <x v="4"/>
    <x v="1"/>
    <x v="1"/>
    <x v="0"/>
    <s v="دورين"/>
    <s v="كينج"/>
    <n v="100"/>
    <x v="1"/>
    <s v="غير محدد"/>
    <s v="سرير كينج اسود"/>
    <n v="1"/>
    <n v="9208"/>
    <s v="كاش"/>
    <x v="8"/>
    <x v="13"/>
    <x v="11"/>
    <n v="20"/>
    <s v=" محمود على"/>
    <x v="0"/>
    <x v="2"/>
  </r>
  <r>
    <n v="28"/>
    <x v="16"/>
    <s v="مخزن اوسكار في القناطر"/>
    <x v="6"/>
    <x v="1"/>
    <x v="4"/>
    <x v="0"/>
    <s v="فردى"/>
    <s v="فورجينا"/>
    <n v="120"/>
    <x v="0"/>
    <s v="غير محدد"/>
    <s v="٢ سريرفورجينا خشب موسكى ابيض مقاس ١٢٠"/>
    <n v="2"/>
    <n v="4020"/>
    <s v="حساب شركه"/>
    <x v="14"/>
    <x v="14"/>
    <x v="12"/>
    <n v="10"/>
    <s v=" محمود على"/>
    <x v="0"/>
    <x v="2"/>
  </r>
  <r>
    <n v="29"/>
    <x v="16"/>
    <s v="مخزن اوسكار في القناطر"/>
    <x v="6"/>
    <x v="1"/>
    <x v="4"/>
    <x v="0"/>
    <s v="فردى"/>
    <s v="فورجينا"/>
    <n v="120"/>
    <x v="0"/>
    <s v="غير محدد"/>
    <s v="٢ سريرفورجينا خشب موسكى ابيض مقاس ١٢٠"/>
    <n v="2"/>
    <n v="4020"/>
    <s v="حساب شركه"/>
    <x v="14"/>
    <x v="14"/>
    <x v="12"/>
    <n v="10"/>
    <s v=" محمود على"/>
    <x v="0"/>
    <x v="2"/>
  </r>
  <r>
    <n v="30"/>
    <x v="16"/>
    <s v="مخزن اوسكار في القناطر"/>
    <x v="6"/>
    <x v="1"/>
    <x v="4"/>
    <x v="0"/>
    <s v="فردى"/>
    <s v="ارفيل"/>
    <n v="120"/>
    <x v="1"/>
    <s v="غير محدد"/>
    <s v="٢ سرير ارفيل ١٢٠ اسود"/>
    <n v="2"/>
    <n v="4020"/>
    <s v="مسبق الدفع"/>
    <x v="14"/>
    <x v="14"/>
    <x v="12"/>
    <n v="10"/>
    <s v=" محمود على"/>
    <x v="0"/>
    <x v="2"/>
  </r>
  <r>
    <n v="31"/>
    <x v="16"/>
    <s v="مخزن اوسكار في القناطر"/>
    <x v="6"/>
    <x v="1"/>
    <x v="4"/>
    <x v="0"/>
    <s v="فردى"/>
    <s v="ارفيل"/>
    <n v="120"/>
    <x v="1"/>
    <s v="غير محدد"/>
    <s v="٢ سرير ارفيل ١٢٠ اسود"/>
    <n v="2"/>
    <n v="4020"/>
    <s v="مسبق الدفع"/>
    <x v="14"/>
    <x v="14"/>
    <x v="12"/>
    <n v="10"/>
    <s v=" محمود على"/>
    <x v="0"/>
    <x v="2"/>
  </r>
  <r>
    <n v="33"/>
    <x v="17"/>
    <s v="الابراهيميه . الإسكندرية"/>
    <x v="1"/>
    <x v="0"/>
    <x v="0"/>
    <x v="1"/>
    <s v="رف سحاب"/>
    <m/>
    <n v="0"/>
    <x v="3"/>
    <s v="غير محدد"/>
    <s v="ترابيزه قهوه علويه برف سحاب"/>
    <n v="1"/>
    <n v="8349"/>
    <s v="مسبق الدفع"/>
    <x v="15"/>
    <x v="15"/>
    <x v="13"/>
    <n v="10"/>
    <s v=" شركه شحن"/>
    <x v="0"/>
    <x v="2"/>
  </r>
  <r>
    <n v="36"/>
    <x v="18"/>
    <s v="١٨ شارع البحيري بولاق الدكرور الجيزه"/>
    <x v="0"/>
    <x v="0"/>
    <x v="2"/>
    <x v="0"/>
    <s v="ثلاثه ادوار"/>
    <s v="كيفنج"/>
    <n v="100"/>
    <x v="1"/>
    <s v="غير محدد"/>
    <s v="سرير ٣ ادورا اسود مقاس ١٠٠"/>
    <n v="1"/>
    <n v="9450"/>
    <s v="كاش"/>
    <x v="14"/>
    <x v="16"/>
    <x v="2"/>
    <m/>
    <s v="ملغي"/>
    <x v="2"/>
    <x v="1"/>
  </r>
  <r>
    <n v="37"/>
    <x v="19"/>
    <s v="القاهره الجديده"/>
    <x v="5"/>
    <x v="0"/>
    <x v="0"/>
    <x v="0"/>
    <s v="فردى"/>
    <s v="اسبانى"/>
    <n v="120"/>
    <x v="1"/>
    <s v="غير محدد"/>
    <s v="سرير اسبانى اسود مقاس ١٢٠"/>
    <n v="1"/>
    <n v="7460"/>
    <s v="مسبق الدفع"/>
    <x v="16"/>
    <x v="16"/>
    <x v="14"/>
    <n v="20"/>
    <s v=" محمود على"/>
    <x v="0"/>
    <x v="2"/>
  </r>
  <r>
    <n v="39"/>
    <x v="20"/>
    <s v="٦ اكتوبر الجيزه"/>
    <x v="0"/>
    <x v="0"/>
    <x v="0"/>
    <x v="0"/>
    <s v="دورين"/>
    <s v="كيفنج"/>
    <n v="120"/>
    <x v="4"/>
    <s v="غير محدد"/>
    <s v="سرير كيفنج ١٢٠ رمادى"/>
    <n v="1"/>
    <n v="12999"/>
    <s v="مسبق الدفع"/>
    <x v="15"/>
    <x v="17"/>
    <x v="15"/>
    <n v="18"/>
    <s v=" محمود على"/>
    <x v="0"/>
    <x v="2"/>
  </r>
  <r>
    <n v="40"/>
    <x v="21"/>
    <s v="الشروق القاهره"/>
    <x v="5"/>
    <x v="0"/>
    <x v="0"/>
    <x v="0"/>
    <s v="دورين"/>
    <s v="نوفال"/>
    <n v="90"/>
    <x v="1"/>
    <s v="غير محدد"/>
    <s v="سرير نوفال  ٩٠ اسود"/>
    <n v="1"/>
    <n v="5999"/>
    <s v="مسبق الدفع"/>
    <x v="14"/>
    <x v="18"/>
    <x v="2"/>
    <m/>
    <s v="ملغي"/>
    <x v="2"/>
    <x v="1"/>
  </r>
  <r>
    <n v="41"/>
    <x v="22"/>
    <s v="حدايق الاهرام"/>
    <x v="0"/>
    <x v="0"/>
    <x v="0"/>
    <x v="0"/>
    <s v="دورين"/>
    <s v="كيفنج"/>
    <n v="100"/>
    <x v="1"/>
    <s v="غير محدد"/>
    <s v="            ٢ سرير كيفنج ١٠٠ اسود"/>
    <n v="1"/>
    <n v="11949"/>
    <s v="كاش"/>
    <x v="14"/>
    <x v="18"/>
    <x v="15"/>
    <n v="20"/>
    <s v=" محمود على"/>
    <x v="0"/>
    <x v="2"/>
  </r>
  <r>
    <n v="42"/>
    <x v="22"/>
    <s v="حدايق الاهرام"/>
    <x v="0"/>
    <x v="0"/>
    <x v="0"/>
    <x v="0"/>
    <s v="دورين"/>
    <s v="كيفنج"/>
    <n v="100"/>
    <x v="1"/>
    <s v="غير محدد"/>
    <s v="            ٢ سرير كيفنج ١٠٠ اسود"/>
    <n v="1"/>
    <n v="11949"/>
    <s v="كاش"/>
    <x v="14"/>
    <x v="18"/>
    <x v="15"/>
    <n v="20"/>
    <s v=" محمود على"/>
    <x v="0"/>
    <x v="2"/>
  </r>
  <r>
    <n v="43"/>
    <x v="6"/>
    <s v="الشروق"/>
    <x v="5"/>
    <x v="0"/>
    <x v="0"/>
    <x v="0"/>
    <s v="ثلاثه ادوار"/>
    <s v="كيفنج"/>
    <n v="80"/>
    <x v="0"/>
    <s v="غير محدد"/>
    <s v="سرير ٣ ادوار ابيض مقاس ٨٠ ابيض"/>
    <n v="1"/>
    <n v="16599"/>
    <s v="مسبق الدفع"/>
    <x v="16"/>
    <x v="19"/>
    <x v="14"/>
    <n v="20"/>
    <s v=" محمود على"/>
    <x v="0"/>
    <x v="2"/>
  </r>
  <r>
    <n v="44"/>
    <x v="23"/>
    <s v="الغردقه"/>
    <x v="3"/>
    <x v="0"/>
    <x v="0"/>
    <x v="0"/>
    <s v="دورين"/>
    <s v="كيفنج"/>
    <n v="80"/>
    <x v="0"/>
    <s v="غير محدد"/>
    <s v="سرير كيفنج دورين مقاس ٨٠ ابيض"/>
    <n v="1"/>
    <n v="10999"/>
    <s v="مسبق الدفع"/>
    <x v="16"/>
    <x v="19"/>
    <x v="16"/>
    <n v="33"/>
    <s v=" شركه شحن"/>
    <x v="0"/>
    <x v="2"/>
  </r>
  <r>
    <n v="45"/>
    <x v="24"/>
    <s v="لافيستا العين السخنه"/>
    <x v="7"/>
    <x v="0"/>
    <x v="0"/>
    <x v="0"/>
    <s v="دورين"/>
    <s v="كيفنج"/>
    <n v="140"/>
    <x v="2"/>
    <s v="غير محدد"/>
    <s v="سرير استيل ازرق مقاس ١٤٠"/>
    <n v="1"/>
    <n v="13099"/>
    <s v="مسبق الدفع"/>
    <x v="16"/>
    <x v="19"/>
    <x v="14"/>
    <n v="20"/>
    <s v=" شركه شحن"/>
    <x v="0"/>
    <x v="2"/>
  </r>
  <r>
    <n v="46"/>
    <x v="25"/>
    <s v="٦ اكتوبر الجيزه"/>
    <x v="0"/>
    <x v="0"/>
    <x v="0"/>
    <x v="0"/>
    <s v="دورين"/>
    <s v="كينج"/>
    <n v="120"/>
    <x v="5"/>
    <s v="غير محدد"/>
    <s v="سرير كينج ١٢٠ بنفسجى"/>
    <n v="1"/>
    <n v="13849"/>
    <s v="مسبق الدفع"/>
    <x v="16"/>
    <x v="19"/>
    <x v="17"/>
    <n v="37"/>
    <s v=" محمود على"/>
    <x v="0"/>
    <x v="2"/>
  </r>
  <r>
    <n v="48"/>
    <x v="26"/>
    <s v="٦ اكتوبر الجيزه"/>
    <x v="0"/>
    <x v="0"/>
    <x v="0"/>
    <x v="0"/>
    <s v="دورين"/>
    <s v="كيفنج"/>
    <n v="80"/>
    <x v="0"/>
    <s v="غير محدد"/>
    <s v="سرير كيفنج دورين مقاس ٨٠ ابيض"/>
    <n v="1"/>
    <n v="10999"/>
    <s v="مسبق الدفع"/>
    <x v="16"/>
    <x v="19"/>
    <x v="18"/>
    <n v="32"/>
    <s v=" محمود على"/>
    <x v="0"/>
    <x v="2"/>
  </r>
  <r>
    <n v="49"/>
    <x v="27"/>
    <s v="المعادى"/>
    <x v="5"/>
    <x v="0"/>
    <x v="0"/>
    <x v="0"/>
    <s v="ثلاثه ادوار"/>
    <s v="كيفنج"/>
    <n v="90"/>
    <x v="1"/>
    <s v="غير محدد"/>
    <s v="سرير ٣ ادوار اسود مقاس ٩٠"/>
    <n v="1"/>
    <n v="17249"/>
    <s v="مسبق الدفع"/>
    <x v="16"/>
    <x v="19"/>
    <x v="19"/>
    <n v="21"/>
    <s v=" محمود على"/>
    <x v="0"/>
    <x v="2"/>
  </r>
  <r>
    <n v="50"/>
    <x v="28"/>
    <s v="فيصل الجيزه"/>
    <x v="0"/>
    <x v="0"/>
    <x v="0"/>
    <x v="1"/>
    <s v="2 ميكانزم"/>
    <m/>
    <n v="0"/>
    <x v="3"/>
    <s v="غير محدد"/>
    <s v="تربيزه قهوه ٢ رافع"/>
    <n v="1"/>
    <n v="8349"/>
    <s v="مسبق الدفع"/>
    <x v="15"/>
    <x v="11"/>
    <x v="20"/>
    <n v="37"/>
    <s v=" محمود على"/>
    <x v="0"/>
    <x v="2"/>
  </r>
  <r>
    <n v="51"/>
    <x v="29"/>
    <s v="المقطم"/>
    <x v="5"/>
    <x v="0"/>
    <x v="0"/>
    <x v="1"/>
    <s v="بمكتبة"/>
    <m/>
    <n v="0"/>
    <x v="3"/>
    <s v="غير محدد"/>
    <s v="ترابيزه قهوه متحركه"/>
    <n v="1"/>
    <n v="7849"/>
    <s v="مسبق الدفع"/>
    <x v="15"/>
    <x v="20"/>
    <x v="21"/>
    <n v="46"/>
    <s v=" محمود على"/>
    <x v="0"/>
    <x v="2"/>
  </r>
  <r>
    <n v="53"/>
    <x v="30"/>
    <s v="الشيخ زايد ٦ اكتوبر"/>
    <x v="0"/>
    <x v="0"/>
    <x v="0"/>
    <x v="0"/>
    <s v="فردى"/>
    <s v="اسبانى"/>
    <n v="140"/>
    <x v="1"/>
    <s v="غير محدد"/>
    <s v="سرير اسبانى  ١٤٠ اسود وبيج"/>
    <n v="1"/>
    <n v="11817"/>
    <s v="مسبق الدفع"/>
    <x v="15"/>
    <x v="20"/>
    <x v="18"/>
    <n v="31"/>
    <s v=" محمود على"/>
    <x v="0"/>
    <x v="0"/>
  </r>
  <r>
    <n v="53"/>
    <x v="30"/>
    <s v="الشيخ زايد ٦ اكتوبر"/>
    <x v="0"/>
    <x v="0"/>
    <x v="0"/>
    <x v="0"/>
    <s v="فردى"/>
    <s v="اسبانى"/>
    <n v="140"/>
    <x v="1"/>
    <s v="غير محدد"/>
    <s v="سرير اسبانى  ١٤٠ اسود وبيج"/>
    <n v="1"/>
    <n v="11817"/>
    <s v="مسبق الدفع"/>
    <x v="15"/>
    <x v="20"/>
    <x v="18"/>
    <n v="31"/>
    <s v=" محمود على"/>
    <x v="0"/>
    <x v="0"/>
  </r>
  <r>
    <n v="54"/>
    <x v="31"/>
    <s v="الشروق"/>
    <x v="5"/>
    <x v="0"/>
    <x v="0"/>
    <x v="1"/>
    <s v="رف سحاب"/>
    <m/>
    <n v="0"/>
    <x v="3"/>
    <s v="غير محدد"/>
    <s v="تربيزه قهوه مرتفعه برف سحاب"/>
    <n v="1"/>
    <n v="8349"/>
    <s v="مسبق الدفع"/>
    <x v="15"/>
    <x v="20"/>
    <x v="22"/>
    <n v="35"/>
    <s v=" محمود على"/>
    <x v="0"/>
    <x v="0"/>
  </r>
  <r>
    <n v="55"/>
    <x v="32"/>
    <s v="الرحاب"/>
    <x v="5"/>
    <x v="0"/>
    <x v="0"/>
    <x v="0"/>
    <s v="فردى"/>
    <s v="فورجينا"/>
    <n v="120"/>
    <x v="0"/>
    <s v="غير محدد"/>
    <s v=" ٢. سرير فورجينا ابيض مقاس ١٢٠"/>
    <n v="1"/>
    <n v="17886"/>
    <s v="مسبق الدفع"/>
    <x v="15"/>
    <x v="20"/>
    <x v="2"/>
    <m/>
    <s v="ملغي"/>
    <x v="2"/>
    <x v="1"/>
  </r>
  <r>
    <n v="56"/>
    <x v="32"/>
    <s v="الرحاب"/>
    <x v="5"/>
    <x v="0"/>
    <x v="0"/>
    <x v="0"/>
    <s v="فردى"/>
    <s v="فورجينا"/>
    <n v="120"/>
    <x v="0"/>
    <s v="غير محدد"/>
    <s v=" ٢. سرير فورجينا ابيض مقاس ١٢٠"/>
    <n v="1"/>
    <n v="17886"/>
    <s v="مسبق الدفع"/>
    <x v="15"/>
    <x v="20"/>
    <x v="2"/>
    <m/>
    <s v="ملغي"/>
    <x v="2"/>
    <x v="1"/>
  </r>
  <r>
    <n v="57"/>
    <x v="33"/>
    <s v="القاهره الجديده"/>
    <x v="5"/>
    <x v="0"/>
    <x v="0"/>
    <x v="0"/>
    <s v="فردى"/>
    <s v="اسبانى"/>
    <n v="120"/>
    <x v="0"/>
    <s v="غير محدد"/>
    <s v="   ٢. سرير اسبانى ابيض ١٢٠"/>
    <n v="1"/>
    <n v="10987"/>
    <s v="مسبق الدفع"/>
    <x v="15"/>
    <x v="20"/>
    <x v="23"/>
    <n v="29"/>
    <s v=" محمود على"/>
    <x v="0"/>
    <x v="0"/>
  </r>
  <r>
    <n v="58"/>
    <x v="33"/>
    <s v="القاهره الجديده"/>
    <x v="5"/>
    <x v="0"/>
    <x v="0"/>
    <x v="0"/>
    <s v="فردى"/>
    <s v="اسبانى"/>
    <n v="120"/>
    <x v="0"/>
    <s v="غير محدد"/>
    <s v="   ٢. سرير اسبانى ابيض ١٢٠"/>
    <n v="1"/>
    <n v="10987"/>
    <s v="مسبق الدفع"/>
    <x v="15"/>
    <x v="20"/>
    <x v="23"/>
    <n v="29"/>
    <s v=" محمود على"/>
    <x v="0"/>
    <x v="0"/>
  </r>
  <r>
    <n v="59"/>
    <x v="34"/>
    <s v="العبور"/>
    <x v="6"/>
    <x v="0"/>
    <x v="0"/>
    <x v="1"/>
    <s v="2 ميكانزم"/>
    <m/>
    <n v="0"/>
    <x v="3"/>
    <s v="غير محدد"/>
    <s v="ترابيزه قهوه علويه جديده"/>
    <n v="1"/>
    <n v="10319"/>
    <s v="مسبق الدفع"/>
    <x v="15"/>
    <x v="20"/>
    <x v="22"/>
    <n v="35"/>
    <s v=" محمود على"/>
    <x v="0"/>
    <x v="0"/>
  </r>
  <r>
    <n v="60"/>
    <x v="35"/>
    <s v="اسيوط"/>
    <x v="8"/>
    <x v="0"/>
    <x v="0"/>
    <x v="0"/>
    <s v="دورين"/>
    <s v="كيفنج"/>
    <n v="120"/>
    <x v="4"/>
    <s v="غير محدد"/>
    <s v="سرير كيفنج دورين مقاس ١٢٠ رمادى"/>
    <n v="1"/>
    <n v="12999"/>
    <s v="مسبق الدفع"/>
    <x v="15"/>
    <x v="21"/>
    <x v="24"/>
    <n v="33"/>
    <s v=" شركه شحن"/>
    <x v="0"/>
    <x v="0"/>
  </r>
  <r>
    <n v="62"/>
    <x v="36"/>
    <s v="الشروق"/>
    <x v="5"/>
    <x v="0"/>
    <x v="0"/>
    <x v="0"/>
    <s v="دورين"/>
    <s v="نوفال"/>
    <n v="100"/>
    <x v="4"/>
    <s v="غير محدد"/>
    <s v="سرير نوفال ١٠٠ رمادى"/>
    <n v="1"/>
    <n v="12399"/>
    <s v="مسبق الدفع"/>
    <x v="15"/>
    <x v="21"/>
    <x v="25"/>
    <n v="17"/>
    <s v=" شركه شحن"/>
    <x v="0"/>
    <x v="0"/>
  </r>
  <r>
    <n v="64"/>
    <x v="37"/>
    <s v="المقطم"/>
    <x v="5"/>
    <x v="0"/>
    <x v="0"/>
    <x v="0"/>
    <s v="دورين"/>
    <s v="نوفال"/>
    <n v="80"/>
    <x v="0"/>
    <s v="غير محدد"/>
    <s v="سرير نوفال مقاس ٨٠ ابيض"/>
    <n v="1"/>
    <n v="10999"/>
    <s v="مسبق الدفع"/>
    <x v="15"/>
    <x v="21"/>
    <x v="16"/>
    <n v="32"/>
    <s v=" محمود على"/>
    <x v="0"/>
    <x v="0"/>
  </r>
  <r>
    <n v="65"/>
    <x v="38"/>
    <s v="EL-Maadi"/>
    <x v="5"/>
    <x v="0"/>
    <x v="0"/>
    <x v="0"/>
    <s v="دورين"/>
    <s v="كيفنج"/>
    <n v="80"/>
    <x v="0"/>
    <s v="غير محدد"/>
    <s v="سرير دورين ابيض 80"/>
    <n v="1"/>
    <n v="10999"/>
    <s v="مسبق الدفع"/>
    <x v="17"/>
    <x v="21"/>
    <x v="16"/>
    <n v="31"/>
    <s v=" محمود على"/>
    <x v="0"/>
    <x v="0"/>
  </r>
  <r>
    <n v="66"/>
    <x v="38"/>
    <s v="EL-Maadi"/>
    <x v="5"/>
    <x v="0"/>
    <x v="0"/>
    <x v="0"/>
    <s v="دورين"/>
    <s v="كيفنج"/>
    <n v="80"/>
    <x v="0"/>
    <s v="غير محدد"/>
    <s v="سرير دورين ابيض 80"/>
    <n v="1"/>
    <n v="10999"/>
    <s v="مسبق الدفع"/>
    <x v="17"/>
    <x v="21"/>
    <x v="16"/>
    <n v="31"/>
    <s v=" محمود على"/>
    <x v="0"/>
    <x v="0"/>
  </r>
  <r>
    <n v="68"/>
    <x v="39"/>
    <s v="العين السخنه"/>
    <x v="7"/>
    <x v="0"/>
    <x v="0"/>
    <x v="1"/>
    <s v="2 ميكانزم"/>
    <m/>
    <n v="0"/>
    <x v="3"/>
    <s v="غير محدد"/>
    <s v="ترابيزه 2 ميكانزم"/>
    <n v="1"/>
    <n v="7849"/>
    <s v="كاش"/>
    <x v="18"/>
    <x v="22"/>
    <x v="26"/>
    <n v="59"/>
    <s v=" شركه شحن"/>
    <x v="0"/>
    <x v="2"/>
  </r>
  <r>
    <n v="69"/>
    <x v="16"/>
    <s v="المخزن ابو الغيط"/>
    <x v="6"/>
    <x v="1"/>
    <x v="4"/>
    <x v="0"/>
    <s v="دورين"/>
    <s v="كيفنج"/>
    <n v="80"/>
    <x v="0"/>
    <s v="غير محدد"/>
    <s v="سرير دورين ابيض 80"/>
    <n v="1"/>
    <n v="5074"/>
    <s v="حساب شركه"/>
    <x v="19"/>
    <x v="23"/>
    <x v="27"/>
    <n v="21"/>
    <s v=" محمود على"/>
    <x v="0"/>
    <x v="2"/>
  </r>
  <r>
    <n v="70"/>
    <x v="8"/>
    <s v="العباسيه"/>
    <x v="5"/>
    <x v="1"/>
    <x v="3"/>
    <x v="0"/>
    <s v="دورين"/>
    <s v="كينج"/>
    <n v="100"/>
    <x v="6"/>
    <s v="غير محدد"/>
    <s v="سرير دورين اسود وبنى 100"/>
    <n v="1"/>
    <n v="6250"/>
    <s v="حساب شركه"/>
    <x v="20"/>
    <x v="24"/>
    <x v="24"/>
    <n v="24"/>
    <s v=" محمود على"/>
    <x v="0"/>
    <x v="2"/>
  </r>
  <r>
    <n v="71"/>
    <x v="8"/>
    <s v="العباسيه"/>
    <x v="5"/>
    <x v="1"/>
    <x v="3"/>
    <x v="0"/>
    <s v="دورين"/>
    <s v="كينج"/>
    <n v="100"/>
    <x v="6"/>
    <s v="غير محدد"/>
    <s v="سرير دورين اسود وبنى 100"/>
    <n v="1"/>
    <n v="6250"/>
    <s v="حساب شركه"/>
    <x v="20"/>
    <x v="24"/>
    <x v="24"/>
    <n v="24"/>
    <s v=" محمود على"/>
    <x v="0"/>
    <x v="2"/>
  </r>
  <r>
    <n v="72"/>
    <x v="40"/>
    <s v="العباسيه"/>
    <x v="5"/>
    <x v="0"/>
    <x v="0"/>
    <x v="0"/>
    <s v="فردى"/>
    <s v="فورجينا"/>
    <n v="120"/>
    <x v="0"/>
    <s v="غير محدد"/>
    <s v="سرير فردى ابيض 120"/>
    <n v="1"/>
    <n v="8943"/>
    <s v="كاش"/>
    <x v="21"/>
    <x v="25"/>
    <x v="28"/>
    <n v="14"/>
    <s v=" محمود على"/>
    <x v="0"/>
    <x v="0"/>
  </r>
  <r>
    <n v="73"/>
    <x v="41"/>
    <s v="اكتوبر الجيزه"/>
    <x v="0"/>
    <x v="0"/>
    <x v="0"/>
    <x v="1"/>
    <s v="رف سحاب"/>
    <m/>
    <n v="0"/>
    <x v="3"/>
    <s v="غير محدد"/>
    <s v="ترابيزه رف سحاب"/>
    <n v="1"/>
    <n v="8349"/>
    <s v="كاش"/>
    <x v="21"/>
    <x v="25"/>
    <x v="2"/>
    <m/>
    <s v="ملغي"/>
    <x v="2"/>
    <x v="1"/>
  </r>
  <r>
    <n v="75"/>
    <x v="5"/>
    <s v="غير محدد"/>
    <x v="4"/>
    <x v="1"/>
    <x v="1"/>
    <x v="0"/>
    <s v="دورين"/>
    <s v="كينج"/>
    <n v="100"/>
    <x v="1"/>
    <s v="غير محدد"/>
    <s v="سرير دورين اسود 100"/>
    <n v="1"/>
    <n v="9208"/>
    <s v="كاش"/>
    <x v="21"/>
    <x v="26"/>
    <x v="2"/>
    <m/>
    <s v="ملغي"/>
    <x v="2"/>
    <x v="1"/>
  </r>
  <r>
    <n v="76"/>
    <x v="5"/>
    <s v="غير محدد"/>
    <x v="4"/>
    <x v="1"/>
    <x v="1"/>
    <x v="0"/>
    <s v="فردى"/>
    <s v="اسبانى"/>
    <n v="120"/>
    <x v="0"/>
    <s v="غير محدد"/>
    <s v="سرير فردى ابيض 120"/>
    <n v="1"/>
    <n v="7433"/>
    <s v="مسبق الدفع"/>
    <x v="22"/>
    <x v="27"/>
    <x v="20"/>
    <n v="22"/>
    <s v=" محمود على"/>
    <x v="0"/>
    <x v="2"/>
  </r>
  <r>
    <n v="77"/>
    <x v="16"/>
    <s v="المخزن ابو الغيط"/>
    <x v="6"/>
    <x v="1"/>
    <x v="4"/>
    <x v="0"/>
    <s v="فردى"/>
    <s v="فورجينا"/>
    <n v="120"/>
    <x v="0"/>
    <s v="غير محدد"/>
    <s v="سرير فردى ابيض 120"/>
    <n v="1"/>
    <n v="4020"/>
    <s v="حساب شركه"/>
    <x v="22"/>
    <x v="28"/>
    <x v="27"/>
    <n v="13"/>
    <s v=" محمود على"/>
    <x v="0"/>
    <x v="0"/>
  </r>
  <r>
    <n v="78"/>
    <x v="42"/>
    <s v="السويس"/>
    <x v="7"/>
    <x v="0"/>
    <x v="5"/>
    <x v="0"/>
    <s v="دورين"/>
    <s v="فانتاستك"/>
    <n v="100"/>
    <x v="7"/>
    <s v="غير محدد"/>
    <s v="سرير دورين ملون 100"/>
    <n v="1"/>
    <n v="8544.9053999999996"/>
    <s v="كاش"/>
    <x v="23"/>
    <x v="29"/>
    <x v="29"/>
    <n v="8"/>
    <s v=" بمعرفه الحج سيد"/>
    <x v="0"/>
    <x v="0"/>
  </r>
  <r>
    <n v="86"/>
    <x v="43"/>
    <s v="القاهره الجديده"/>
    <x v="5"/>
    <x v="0"/>
    <x v="0"/>
    <x v="0"/>
    <s v="دورين"/>
    <s v="نوفال"/>
    <n v="140"/>
    <x v="8"/>
    <s v="غير محدد"/>
    <s v="سرير دورين بينك 140"/>
    <n v="1"/>
    <n v="12899"/>
    <s v="كاش"/>
    <x v="24"/>
    <x v="30"/>
    <x v="30"/>
    <n v="20"/>
    <s v=" محمود على"/>
    <x v="0"/>
    <x v="0"/>
  </r>
  <r>
    <n v="87"/>
    <x v="44"/>
    <s v="مصر الجديده"/>
    <x v="5"/>
    <x v="0"/>
    <x v="0"/>
    <x v="0"/>
    <s v="دورين"/>
    <s v="كيفنج"/>
    <n v="80"/>
    <x v="0"/>
    <s v="غير محدد"/>
    <s v="سرير دورين ابيض 80"/>
    <n v="1"/>
    <n v="10499"/>
    <s v="مسبق الدفع"/>
    <x v="25"/>
    <x v="31"/>
    <x v="20"/>
    <n v="5"/>
    <s v=" محمود على"/>
    <x v="0"/>
    <x v="0"/>
  </r>
  <r>
    <n v="89"/>
    <x v="45"/>
    <s v="البطاش اسكندريه"/>
    <x v="1"/>
    <x v="0"/>
    <x v="0"/>
    <x v="0"/>
    <s v="دورين"/>
    <s v="نوفال"/>
    <n v="140"/>
    <x v="8"/>
    <s v="غير محدد"/>
    <s v="سرير دورين بينك 140"/>
    <n v="1"/>
    <n v="12899"/>
    <s v="مسبق الدفع"/>
    <x v="26"/>
    <x v="32"/>
    <x v="31"/>
    <n v="47"/>
    <s v=" شركه شحن"/>
    <x v="0"/>
    <x v="0"/>
  </r>
  <r>
    <n v="91"/>
    <x v="5"/>
    <s v="اكتوبر الجيزه"/>
    <x v="0"/>
    <x v="1"/>
    <x v="1"/>
    <x v="0"/>
    <s v="دورين"/>
    <s v="فانتستيك"/>
    <n v="100"/>
    <x v="9"/>
    <s v="غير محدد"/>
    <s v="سرير دورين الوان 100"/>
    <n v="1"/>
    <n v="12777.5"/>
    <s v="كاش"/>
    <x v="27"/>
    <x v="33"/>
    <x v="32"/>
    <n v="27"/>
    <s v=" محمود على"/>
    <x v="0"/>
    <x v="2"/>
  </r>
  <r>
    <n v="92"/>
    <x v="5"/>
    <s v="اكتوبر الجيزه"/>
    <x v="0"/>
    <x v="1"/>
    <x v="1"/>
    <x v="0"/>
    <s v="دورين"/>
    <s v="فانتستيك"/>
    <n v="100"/>
    <x v="9"/>
    <s v="غير محدد"/>
    <s v="سرير دورين الوان 100"/>
    <n v="1"/>
    <n v="12777.5"/>
    <s v="كاش"/>
    <x v="27"/>
    <x v="33"/>
    <x v="32"/>
    <n v="27"/>
    <s v=" محمود على"/>
    <x v="0"/>
    <x v="2"/>
  </r>
  <r>
    <n v="93"/>
    <x v="16"/>
    <s v="المعرض مدينه نصر"/>
    <x v="5"/>
    <x v="1"/>
    <x v="4"/>
    <x v="0"/>
    <s v="دورين"/>
    <s v="فانتستيك"/>
    <n v="100"/>
    <x v="9"/>
    <s v="غير محدد"/>
    <s v="سرير دورين الوان 100"/>
    <n v="1"/>
    <n v="8544.91"/>
    <s v="حساب شركه"/>
    <x v="27"/>
    <x v="0"/>
    <x v="2"/>
    <m/>
    <s v="ملغي"/>
    <x v="2"/>
    <x v="1"/>
  </r>
  <r>
    <n v="94"/>
    <x v="46"/>
    <s v="أكتوبر الجيزه"/>
    <x v="0"/>
    <x v="0"/>
    <x v="0"/>
    <x v="0"/>
    <s v="فردى"/>
    <s v="فورجينا"/>
    <n v="120"/>
    <x v="0"/>
    <s v="غير محدد"/>
    <s v="سرير فردى ابيض 120"/>
    <n v="1"/>
    <n v="8943"/>
    <s v="كاش"/>
    <x v="28"/>
    <x v="34"/>
    <x v="32"/>
    <n v="28"/>
    <s v=" محمود على"/>
    <x v="0"/>
    <x v="2"/>
  </r>
  <r>
    <n v="95"/>
    <x v="5"/>
    <s v="غير محدد"/>
    <x v="4"/>
    <x v="1"/>
    <x v="1"/>
    <x v="2"/>
    <s v="4*1"/>
    <m/>
    <n v="120"/>
    <x v="1"/>
    <s v="غير محدد"/>
    <s v="كنبة 4*1 اسود 120"/>
    <n v="1"/>
    <n v="15516"/>
    <s v="مسبق الدفع"/>
    <x v="29"/>
    <x v="34"/>
    <x v="21"/>
    <n v="6"/>
    <s v=" محمود على"/>
    <x v="0"/>
    <x v="0"/>
  </r>
  <r>
    <n v="96"/>
    <x v="5"/>
    <s v="غير محدد"/>
    <x v="4"/>
    <x v="1"/>
    <x v="1"/>
    <x v="0"/>
    <s v="دورين"/>
    <s v="كينج"/>
    <n v="100"/>
    <x v="1"/>
    <s v="غير محدد"/>
    <s v="سرير دورين اسود 100"/>
    <n v="1"/>
    <n v="10045"/>
    <s v="كاش"/>
    <x v="30"/>
    <x v="35"/>
    <x v="2"/>
    <m/>
    <s v="ملغي"/>
    <x v="2"/>
    <x v="1"/>
  </r>
  <r>
    <n v="97"/>
    <x v="33"/>
    <s v="الشيخ زايد اكتوبر"/>
    <x v="0"/>
    <x v="0"/>
    <x v="0"/>
    <x v="0"/>
    <s v="دورين"/>
    <s v="كينج"/>
    <n v="90"/>
    <x v="1"/>
    <s v="غير محدد"/>
    <s v="سرير دورين اسود 90"/>
    <n v="1"/>
    <n v="11649"/>
    <s v="كاش"/>
    <x v="30"/>
    <x v="25"/>
    <x v="32"/>
    <n v="23"/>
    <s v=" محمود على"/>
    <x v="0"/>
    <x v="2"/>
  </r>
  <r>
    <n v="97"/>
    <x v="33"/>
    <s v="الشيخ زايد اكتوبر"/>
    <x v="0"/>
    <x v="0"/>
    <x v="0"/>
    <x v="0"/>
    <s v="دورين"/>
    <s v="كينج"/>
    <n v="90"/>
    <x v="1"/>
    <s v="غير محدد"/>
    <s v="سرير دورين اسود 90"/>
    <n v="1"/>
    <n v="11649"/>
    <s v="كاش"/>
    <x v="30"/>
    <x v="25"/>
    <x v="32"/>
    <n v="23"/>
    <s v=" محمود على"/>
    <x v="0"/>
    <x v="2"/>
  </r>
  <r>
    <n v="98"/>
    <x v="33"/>
    <s v="الشيخ زايد اكتوبر"/>
    <x v="0"/>
    <x v="0"/>
    <x v="0"/>
    <x v="0"/>
    <s v="دورين"/>
    <s v="كينج"/>
    <n v="90"/>
    <x v="1"/>
    <s v="غير محدد"/>
    <s v="سرير دورين اسود 90"/>
    <n v="1"/>
    <n v="11649"/>
    <s v="كاش"/>
    <x v="30"/>
    <x v="25"/>
    <x v="32"/>
    <n v="23"/>
    <s v=" محمود على"/>
    <x v="0"/>
    <x v="2"/>
  </r>
  <r>
    <n v="98"/>
    <x v="33"/>
    <s v="الشيخ زايد اكتوبر"/>
    <x v="0"/>
    <x v="0"/>
    <x v="0"/>
    <x v="0"/>
    <s v="دورين"/>
    <s v="كينج"/>
    <n v="90"/>
    <x v="1"/>
    <s v="غير محدد"/>
    <s v="سرير دورين اسود 90"/>
    <n v="1"/>
    <n v="11649"/>
    <s v="كاش"/>
    <x v="30"/>
    <x v="25"/>
    <x v="32"/>
    <n v="23"/>
    <s v=" محمود على"/>
    <x v="0"/>
    <x v="2"/>
  </r>
  <r>
    <n v="99"/>
    <x v="47"/>
    <s v="المعادى"/>
    <x v="5"/>
    <x v="0"/>
    <x v="0"/>
    <x v="0"/>
    <s v="فردى"/>
    <s v="اسبانى"/>
    <n v="100"/>
    <x v="0"/>
    <s v="غير محدد"/>
    <s v="سرير فردى ابيض 100"/>
    <n v="1"/>
    <n v="4800"/>
    <s v="كاش"/>
    <x v="31"/>
    <x v="36"/>
    <x v="33"/>
    <n v="24"/>
    <s v=" محمود على"/>
    <x v="0"/>
    <x v="2"/>
  </r>
  <r>
    <n v="100"/>
    <x v="47"/>
    <s v="المعادى"/>
    <x v="5"/>
    <x v="0"/>
    <x v="0"/>
    <x v="0"/>
    <s v="فردى"/>
    <s v="اسبانى"/>
    <n v="120"/>
    <x v="0"/>
    <s v="غير محدد"/>
    <s v="سرير فردى ابيض 120"/>
    <n v="1"/>
    <n v="5000"/>
    <s v="كاش"/>
    <x v="31"/>
    <x v="36"/>
    <x v="33"/>
    <n v="24"/>
    <s v=" محمود على"/>
    <x v="0"/>
    <x v="2"/>
  </r>
  <r>
    <n v="101"/>
    <x v="48"/>
    <s v="مدينتى"/>
    <x v="5"/>
    <x v="0"/>
    <x v="0"/>
    <x v="0"/>
    <s v="دورين"/>
    <s v="كيفنج"/>
    <n v="80"/>
    <x v="0"/>
    <s v="غير محدد"/>
    <s v="سرير دورين ابيض 80"/>
    <n v="1"/>
    <n v="12099"/>
    <s v="مسبق الدفع"/>
    <x v="32"/>
    <x v="37"/>
    <x v="34"/>
    <n v="16"/>
    <s v=" محمود على"/>
    <x v="0"/>
    <x v="2"/>
  </r>
  <r>
    <n v="103"/>
    <x v="49"/>
    <s v="التجمع الخامس"/>
    <x v="5"/>
    <x v="1"/>
    <x v="6"/>
    <x v="0"/>
    <s v="فردى"/>
    <s v="فورجينا"/>
    <n v="120"/>
    <x v="0"/>
    <s v="غير محدد"/>
    <s v="سرير فردى ابيض 120"/>
    <n v="1"/>
    <n v="4520"/>
    <s v="حساب شركه"/>
    <x v="33"/>
    <x v="38"/>
    <x v="33"/>
    <n v="11"/>
    <s v=" محمود على"/>
    <x v="0"/>
    <x v="0"/>
  </r>
  <r>
    <n v="104"/>
    <x v="16"/>
    <s v="المخزن ابو الغيط"/>
    <x v="6"/>
    <x v="1"/>
    <x v="4"/>
    <x v="0"/>
    <s v="دورين"/>
    <s v="كينج"/>
    <n v="90"/>
    <x v="1"/>
    <s v="غير محدد"/>
    <s v="سرير دورين اسود 90"/>
    <n v="1"/>
    <n v="5766"/>
    <s v="حساب شركه"/>
    <x v="34"/>
    <x v="37"/>
    <x v="35"/>
    <n v="13"/>
    <s v=" محمود على"/>
    <x v="0"/>
    <x v="0"/>
  </r>
  <r>
    <n v="105"/>
    <x v="50"/>
    <s v="المعادى"/>
    <x v="5"/>
    <x v="0"/>
    <x v="0"/>
    <x v="0"/>
    <s v="فردى"/>
    <s v="فورجينا"/>
    <n v="160"/>
    <x v="5"/>
    <s v="غير محدد"/>
    <s v="سرير فردى بنفسجى 160"/>
    <n v="1"/>
    <n v="11395"/>
    <s v="مسبق الدفع"/>
    <x v="34"/>
    <x v="39"/>
    <x v="34"/>
    <n v="15"/>
    <s v=" محمود على"/>
    <x v="0"/>
    <x v="2"/>
  </r>
  <r>
    <n v="106"/>
    <x v="51"/>
    <s v="التجمع الخامس"/>
    <x v="5"/>
    <x v="0"/>
    <x v="0"/>
    <x v="0"/>
    <s v="دورين"/>
    <s v="كينج"/>
    <n v="80"/>
    <x v="0"/>
    <s v="غير محدد"/>
    <s v="سرير دورين ابيض 80"/>
    <n v="1"/>
    <n v="12919"/>
    <s v="مسبق الدفع"/>
    <x v="35"/>
    <x v="40"/>
    <x v="34"/>
    <n v="13"/>
    <s v=" محمود على"/>
    <x v="0"/>
    <x v="0"/>
  </r>
  <r>
    <n v="107"/>
    <x v="16"/>
    <s v="المخزن ابو الغيط"/>
    <x v="6"/>
    <x v="1"/>
    <x v="4"/>
    <x v="0"/>
    <s v="دورين"/>
    <s v="نوفال"/>
    <n v="120"/>
    <x v="4"/>
    <s v="غير محدد"/>
    <s v="سرير دورين رمادى 120"/>
    <n v="1"/>
    <n v="6376"/>
    <s v="حساب شركه"/>
    <x v="35"/>
    <x v="41"/>
    <x v="35"/>
    <n v="11"/>
    <s v=" محمود على"/>
    <x v="0"/>
    <x v="0"/>
  </r>
  <r>
    <n v="108"/>
    <x v="16"/>
    <s v="المخزن"/>
    <x v="4"/>
    <x v="1"/>
    <x v="4"/>
    <x v="0"/>
    <s v="دورين"/>
    <s v="نوفال"/>
    <n v="90"/>
    <x v="1"/>
    <s v="غير محدد"/>
    <s v="سرير دورين اسود 90"/>
    <n v="1"/>
    <n v="5294"/>
    <s v="حساب شركه"/>
    <x v="35"/>
    <x v="41"/>
    <x v="35"/>
    <n v="11"/>
    <s v=" محمود على"/>
    <x v="0"/>
    <x v="0"/>
  </r>
  <r>
    <n v="109"/>
    <x v="52"/>
    <s v="٦ اكتوبر الجيزه"/>
    <x v="0"/>
    <x v="0"/>
    <x v="7"/>
    <x v="0"/>
    <s v="دورين"/>
    <s v="كيفنج"/>
    <n v="80"/>
    <x v="0"/>
    <s v="غير محدد"/>
    <s v="سرير دورين ابيض 80"/>
    <n v="1"/>
    <n v="7396"/>
    <s v="مسبق الدفع"/>
    <x v="36"/>
    <x v="42"/>
    <x v="36"/>
    <n v="9"/>
    <s v=" محمود على"/>
    <x v="0"/>
    <x v="0"/>
  </r>
  <r>
    <n v="110"/>
    <x v="33"/>
    <s v="٦ اكتوبر الجيزه"/>
    <x v="0"/>
    <x v="0"/>
    <x v="0"/>
    <x v="0"/>
    <s v="دورين"/>
    <s v="كينج"/>
    <n v="90"/>
    <x v="1"/>
    <s v="غير محدد"/>
    <s v="سرير دورين اسود 90"/>
    <n v="1"/>
    <n v="13439"/>
    <s v="كاش"/>
    <x v="37"/>
    <x v="43"/>
    <x v="36"/>
    <n v="6"/>
    <s v=" محمود على"/>
    <x v="0"/>
    <x v="0"/>
  </r>
  <r>
    <n v="111"/>
    <x v="8"/>
    <s v="العباسيه"/>
    <x v="5"/>
    <x v="1"/>
    <x v="3"/>
    <x v="0"/>
    <s v="فردى"/>
    <s v="امريكى"/>
    <n v="160"/>
    <x v="1"/>
    <s v="غير محدد"/>
    <s v="سرير فردى اسود 160"/>
    <n v="1"/>
    <n v="5100"/>
    <s v="حساب شركه"/>
    <x v="35"/>
    <x v="44"/>
    <x v="2"/>
    <m/>
    <s v="ملغي"/>
    <x v="2"/>
    <x v="1"/>
  </r>
  <r>
    <n v="113"/>
    <x v="53"/>
    <s v="شبرا"/>
    <x v="5"/>
    <x v="0"/>
    <x v="0"/>
    <x v="0"/>
    <s v="فردى"/>
    <s v="اسبانى"/>
    <n v="120"/>
    <x v="4"/>
    <s v="غير محدد"/>
    <s v="سرير فردى رمادى 120"/>
    <n v="1"/>
    <n v="10885"/>
    <s v="كاش"/>
    <x v="38"/>
    <x v="43"/>
    <x v="37"/>
    <n v="16"/>
    <s v=" محمود على"/>
    <x v="0"/>
    <x v="2"/>
  </r>
  <r>
    <n v="114"/>
    <x v="8"/>
    <s v="العباسيه"/>
    <x v="5"/>
    <x v="0"/>
    <x v="3"/>
    <x v="2"/>
    <s v="t1"/>
    <s v="t1"/>
    <n v="0"/>
    <x v="3"/>
    <s v="غير محدد"/>
    <s v="كنبة t1"/>
    <n v="1"/>
    <n v="6000"/>
    <s v="كاش"/>
    <x v="39"/>
    <x v="43"/>
    <x v="38"/>
    <n v="1"/>
    <s v=" م محمد"/>
    <x v="0"/>
    <x v="0"/>
  </r>
  <r>
    <n v="115"/>
    <x v="54"/>
    <s v="جليم الإسكندرية"/>
    <x v="1"/>
    <x v="0"/>
    <x v="0"/>
    <x v="1"/>
    <m/>
    <s v="مكتبه"/>
    <n v="0"/>
    <x v="3"/>
    <s v="غير محدد"/>
    <s v="ترابيزه"/>
    <n v="1"/>
    <n v="8449"/>
    <s v="مسبق الدفع"/>
    <x v="40"/>
    <x v="45"/>
    <x v="39"/>
    <n v="26"/>
    <s v=" شركه شحن"/>
    <x v="0"/>
    <x v="2"/>
  </r>
  <r>
    <n v="117"/>
    <x v="55"/>
    <s v="المندره اسكندريه"/>
    <x v="1"/>
    <x v="0"/>
    <x v="0"/>
    <x v="0"/>
    <s v="دورين"/>
    <s v="كيفنج"/>
    <n v="100"/>
    <x v="1"/>
    <s v="غير محدد"/>
    <s v="سرير دورين اسود 100"/>
    <n v="1"/>
    <n v="14905"/>
    <s v="مسبق الدفع"/>
    <x v="41"/>
    <x v="46"/>
    <x v="2"/>
    <m/>
    <s v="ملغي"/>
    <x v="2"/>
    <x v="1"/>
  </r>
  <r>
    <n v="121"/>
    <x v="56"/>
    <s v="القطاميه"/>
    <x v="5"/>
    <x v="0"/>
    <x v="0"/>
    <x v="0"/>
    <s v="دورين"/>
    <s v="نوفال"/>
    <n v="80"/>
    <x v="0"/>
    <s v="غير محدد"/>
    <s v="سرير دورين ابيض 80"/>
    <n v="1"/>
    <n v="12099"/>
    <s v="مسبق الدفع"/>
    <x v="42"/>
    <x v="30"/>
    <x v="2"/>
    <m/>
    <s v="ملغي"/>
    <x v="2"/>
    <x v="1"/>
  </r>
  <r>
    <n v="122"/>
    <x v="16"/>
    <s v="المخزن ابو الغيط"/>
    <x v="6"/>
    <x v="1"/>
    <x v="4"/>
    <x v="0"/>
    <s v="دورين"/>
    <s v="كيفنج"/>
    <n v="90"/>
    <x v="2"/>
    <s v="غير محدد"/>
    <s v="سرير دورين ازرق 90"/>
    <n v="1"/>
    <n v="5217"/>
    <s v="حساب شركه"/>
    <x v="43"/>
    <x v="47"/>
    <x v="37"/>
    <n v="9"/>
    <s v=" محمود على"/>
    <x v="0"/>
    <x v="0"/>
  </r>
  <r>
    <n v="124"/>
    <x v="57"/>
    <s v="اب تاون كايرو التجمع"/>
    <x v="5"/>
    <x v="0"/>
    <x v="1"/>
    <x v="0"/>
    <s v="دورين"/>
    <s v="كينج"/>
    <n v="0"/>
    <x v="1"/>
    <s v="غير محدد"/>
    <s v="سرير دورين اسود"/>
    <n v="1"/>
    <n v="10445"/>
    <s v="كاش"/>
    <x v="44"/>
    <x v="48"/>
    <x v="40"/>
    <n v="3"/>
    <s v=" محمود على"/>
    <x v="0"/>
    <x v="0"/>
  </r>
  <r>
    <n v="126"/>
    <x v="58"/>
    <s v="٦ اكتوبر الجيزه"/>
    <x v="0"/>
    <x v="0"/>
    <x v="0"/>
    <x v="0"/>
    <s v="دورين"/>
    <s v="نوفال"/>
    <n v="80"/>
    <x v="1"/>
    <s v="غير محدد"/>
    <s v="سرير دورين اسود 80"/>
    <n v="1"/>
    <n v="13099"/>
    <s v="كاش"/>
    <x v="45"/>
    <x v="49"/>
    <x v="41"/>
    <n v="17"/>
    <s v=" محمود على"/>
    <x v="0"/>
    <x v="2"/>
  </r>
  <r>
    <n v="38"/>
    <x v="59"/>
    <s v="القاهره الجديده"/>
    <x v="5"/>
    <x v="0"/>
    <x v="0"/>
    <x v="0"/>
    <s v="فردى"/>
    <s v="كورين"/>
    <n v="140"/>
    <x v="4"/>
    <s v="رمادى"/>
    <s v="سرير كوين مقاس ١٤٠ دهبي ورمادى"/>
    <n v="1"/>
    <n v="9528"/>
    <s v="مسبق الدفع"/>
    <x v="16"/>
    <x v="16"/>
    <x v="14"/>
    <n v="20"/>
    <s v=" محمود على"/>
    <x v="0"/>
    <x v="2"/>
  </r>
  <r>
    <n v="52"/>
    <x v="60"/>
    <s v="٦ اكتوبر الجيزه"/>
    <x v="0"/>
    <x v="0"/>
    <x v="0"/>
    <x v="0"/>
    <s v="منطبق"/>
    <m/>
    <n v="0"/>
    <x v="1"/>
    <s v="اسود"/>
    <s v="سرير منطبق اسود حديد ومعدن"/>
    <n v="1"/>
    <n v="9399"/>
    <s v="مسبق الدفع"/>
    <x v="15"/>
    <x v="20"/>
    <x v="18"/>
    <n v="31"/>
    <s v=" محمود على"/>
    <x v="0"/>
    <x v="0"/>
  </r>
  <r>
    <n v="61"/>
    <x v="61"/>
    <s v="الغردقه"/>
    <x v="3"/>
    <x v="0"/>
    <x v="0"/>
    <x v="2"/>
    <s v="4*1"/>
    <m/>
    <n v="120"/>
    <x v="1"/>
    <s v="رمادى"/>
    <s v="كنبه سرير ٤ حركه"/>
    <n v="1"/>
    <n v="21999"/>
    <s v="مسبق الدفع"/>
    <x v="15"/>
    <x v="21"/>
    <x v="2"/>
    <m/>
    <s v="ملغي"/>
    <x v="2"/>
    <x v="1"/>
  </r>
  <r>
    <n v="63"/>
    <x v="62"/>
    <s v="القاهره الجديده"/>
    <x v="5"/>
    <x v="0"/>
    <x v="0"/>
    <x v="2"/>
    <s v="4*1"/>
    <m/>
    <n v="120"/>
    <x v="1"/>
    <s v="رمادى"/>
    <s v="كنبه سرير ٤ حركه"/>
    <n v="1"/>
    <n v="21999"/>
    <s v="مسبق الدفع"/>
    <x v="15"/>
    <x v="21"/>
    <x v="29"/>
    <n v="25"/>
    <s v=" محمود على"/>
    <x v="0"/>
    <x v="0"/>
  </r>
  <r>
    <n v="67"/>
    <x v="63"/>
    <s v="Madinet Badr"/>
    <x v="5"/>
    <x v="0"/>
    <x v="0"/>
    <x v="2"/>
    <s v="4*1"/>
    <m/>
    <n v="120"/>
    <x v="1"/>
    <s v="رمادى"/>
    <s v="كنبة 4*1 اسود 120"/>
    <n v="1"/>
    <n v="21999"/>
    <s v="مسبق الدفع"/>
    <x v="17"/>
    <x v="21"/>
    <x v="22"/>
    <n v="34"/>
    <s v=" محمود على"/>
    <x v="0"/>
    <x v="0"/>
  </r>
  <r>
    <n v="74"/>
    <x v="5"/>
    <s v="التجمع"/>
    <x v="5"/>
    <x v="1"/>
    <x v="1"/>
    <x v="2"/>
    <s v="4*1"/>
    <m/>
    <n v="120"/>
    <x v="3"/>
    <s v="نبيتى"/>
    <s v="كنبة 4*1 120"/>
    <n v="1"/>
    <n v="14950"/>
    <s v="مسبق الدفع"/>
    <x v="21"/>
    <x v="26"/>
    <x v="23"/>
    <n v="17"/>
    <s v=" محمود على"/>
    <x v="0"/>
    <x v="0"/>
  </r>
  <r>
    <n v="79"/>
    <x v="42"/>
    <s v="السويس"/>
    <x v="7"/>
    <x v="0"/>
    <x v="5"/>
    <x v="0"/>
    <s v="منطبق"/>
    <m/>
    <n v="0"/>
    <x v="10"/>
    <s v="بيج"/>
    <s v="سرير منطبق اسزد"/>
    <n v="1"/>
    <n v="4600"/>
    <s v="كاش"/>
    <x v="23"/>
    <x v="29"/>
    <x v="29"/>
    <n v="8"/>
    <s v=" بمعرفه الحج سيد"/>
    <x v="0"/>
    <x v="0"/>
  </r>
  <r>
    <n v="80"/>
    <x v="42"/>
    <s v="السويس"/>
    <x v="7"/>
    <x v="0"/>
    <x v="5"/>
    <x v="2"/>
    <s v="فنيسيا"/>
    <m/>
    <n v="0"/>
    <x v="1"/>
    <s v="رصاصي مشجر"/>
    <s v="كنبة فنيسيا اسود"/>
    <n v="1"/>
    <n v="10000"/>
    <s v="كاش"/>
    <x v="23"/>
    <x v="29"/>
    <x v="29"/>
    <n v="8"/>
    <s v=" بمعرفه الحج سيد"/>
    <x v="0"/>
    <x v="0"/>
  </r>
  <r>
    <n v="81"/>
    <x v="42"/>
    <s v="السويس"/>
    <x v="7"/>
    <x v="0"/>
    <x v="5"/>
    <x v="5"/>
    <m/>
    <m/>
    <n v="0"/>
    <x v="1"/>
    <s v="نبيتى"/>
    <s v="شيزلونج اسود"/>
    <n v="1"/>
    <n v="10192"/>
    <s v="كاش"/>
    <x v="23"/>
    <x v="29"/>
    <x v="29"/>
    <n v="8"/>
    <s v=" بمعرفه الحج سيد"/>
    <x v="0"/>
    <x v="0"/>
  </r>
  <r>
    <n v="82"/>
    <x v="64"/>
    <s v="الزمالك"/>
    <x v="5"/>
    <x v="0"/>
    <x v="0"/>
    <x v="0"/>
    <s v="منطبق"/>
    <m/>
    <n v="0"/>
    <x v="1"/>
    <s v="اسود"/>
    <s v="سرير منطبق اسود"/>
    <n v="1"/>
    <n v="8899"/>
    <s v="كاش"/>
    <x v="46"/>
    <x v="50"/>
    <x v="2"/>
    <m/>
    <s v="ملغي"/>
    <x v="2"/>
    <x v="1"/>
  </r>
  <r>
    <n v="83"/>
    <x v="5"/>
    <s v="مخزن شيك هومز"/>
    <x v="5"/>
    <x v="1"/>
    <x v="1"/>
    <x v="2"/>
    <s v="4*1"/>
    <m/>
    <n v="120"/>
    <x v="1"/>
    <s v="بترولى"/>
    <s v="كنبة 4*1 اسود 120"/>
    <n v="1"/>
    <n v="14550"/>
    <s v="مسبق الدفع"/>
    <x v="47"/>
    <x v="20"/>
    <x v="21"/>
    <n v="22"/>
    <s v=" محمود على"/>
    <x v="0"/>
    <x v="2"/>
  </r>
  <r>
    <n v="84"/>
    <x v="5"/>
    <s v="أكتوبر"/>
    <x v="0"/>
    <x v="1"/>
    <x v="1"/>
    <x v="2"/>
    <s v="4*1"/>
    <m/>
    <n v="120"/>
    <x v="1"/>
    <s v="بترولى"/>
    <s v="كنبة 4*1 اسود 120"/>
    <n v="1"/>
    <n v="14550"/>
    <s v="مسبق الدفع"/>
    <x v="48"/>
    <x v="20"/>
    <x v="18"/>
    <n v="8"/>
    <s v=" محمود على"/>
    <x v="0"/>
    <x v="0"/>
  </r>
  <r>
    <n v="85"/>
    <x v="5"/>
    <s v="غير محدد"/>
    <x v="4"/>
    <x v="1"/>
    <x v="1"/>
    <x v="2"/>
    <s v="4*1"/>
    <m/>
    <n v="120"/>
    <x v="1"/>
    <s v="نبيتى"/>
    <s v="كنبة 4*1 اسود 120"/>
    <n v="1"/>
    <n v="14550"/>
    <s v="كاش"/>
    <x v="49"/>
    <x v="51"/>
    <x v="30"/>
    <n v="23"/>
    <s v=" محمود على"/>
    <x v="0"/>
    <x v="2"/>
  </r>
  <r>
    <n v="90"/>
    <x v="65"/>
    <s v="41 كومبوند جولدن جستس الدور 4 شقه 4"/>
    <x v="5"/>
    <x v="0"/>
    <x v="6"/>
    <x v="0"/>
    <s v="فردى"/>
    <s v="بلحه"/>
    <n v="140"/>
    <x v="11"/>
    <s v="خشب بنى فاتح"/>
    <s v="سرير فردى نبيتى 140"/>
    <n v="1"/>
    <n v="5135"/>
    <s v="مسبق الدفع"/>
    <x v="50"/>
    <x v="50"/>
    <x v="26"/>
    <n v="25"/>
    <s v=" محمود على"/>
    <x v="0"/>
    <x v="0"/>
  </r>
  <r>
    <n v="102"/>
    <x v="5"/>
    <s v="مخزن شيك هومز"/>
    <x v="5"/>
    <x v="1"/>
    <x v="1"/>
    <x v="2"/>
    <s v="4*1"/>
    <s v="ارينا"/>
    <n v="120"/>
    <x v="1"/>
    <s v="بترولى"/>
    <s v="كنبة 4*1 اسود 120"/>
    <n v="1"/>
    <n v="15872"/>
    <s v="مسبق"/>
    <x v="51"/>
    <x v="52"/>
    <x v="26"/>
    <n v="6"/>
    <s v=" محمود على"/>
    <x v="0"/>
    <x v="0"/>
  </r>
  <r>
    <n v="112"/>
    <x v="66"/>
    <s v="مصر الجديده"/>
    <x v="5"/>
    <x v="0"/>
    <x v="2"/>
    <x v="0"/>
    <s v="فردى"/>
    <s v="كوين"/>
    <n v="160"/>
    <x v="12"/>
    <s v="ابيض"/>
    <s v="سرير فردى دهبي 160"/>
    <n v="1"/>
    <n v="5700"/>
    <s v="كاش"/>
    <x v="52"/>
    <x v="53"/>
    <x v="34"/>
    <n v="5"/>
    <s v=" محمود على"/>
    <x v="0"/>
    <x v="0"/>
  </r>
  <r>
    <n v="116"/>
    <x v="67"/>
    <s v="مدينه نصر"/>
    <x v="5"/>
    <x v="0"/>
    <x v="0"/>
    <x v="1"/>
    <s v="دورين"/>
    <s v="ميكانزم"/>
    <n v="0"/>
    <x v="0"/>
    <s v="ابيض في بنى غامق"/>
    <s v="ترابيزه دورين ابيض"/>
    <n v="1"/>
    <n v="10249"/>
    <s v="كاش"/>
    <x v="40"/>
    <x v="45"/>
    <x v="42"/>
    <n v="22"/>
    <s v=" محمود على"/>
    <x v="0"/>
    <x v="2"/>
  </r>
  <r>
    <n v="118"/>
    <x v="68"/>
    <s v="القاهره الجديده"/>
    <x v="5"/>
    <x v="0"/>
    <x v="0"/>
    <x v="1"/>
    <s v="دورين"/>
    <s v="ميكانزم"/>
    <n v="0"/>
    <x v="1"/>
    <s v="بنى غامق"/>
    <s v="ترابيزه دورين اسود"/>
    <n v="1"/>
    <n v="10249"/>
    <s v="مسبق الدفع"/>
    <x v="53"/>
    <x v="54"/>
    <x v="2"/>
    <m/>
    <s v="ملغي"/>
    <x v="2"/>
    <x v="1"/>
  </r>
  <r>
    <n v="119"/>
    <x v="68"/>
    <s v="القاهره الجديده"/>
    <x v="5"/>
    <x v="0"/>
    <x v="0"/>
    <x v="1"/>
    <s v="رف سحاب"/>
    <m/>
    <n v="0"/>
    <x v="1"/>
    <s v="بنى غامق"/>
    <s v="ترابيزه رف سحاب اسود"/>
    <n v="1"/>
    <n v="9029"/>
    <s v="مسبق الدفع"/>
    <x v="53"/>
    <x v="54"/>
    <x v="2"/>
    <m/>
    <s v="ملغي"/>
    <x v="2"/>
    <x v="1"/>
  </r>
  <r>
    <n v="120"/>
    <x v="69"/>
    <s v="العين السخنه"/>
    <x v="7"/>
    <x v="0"/>
    <x v="0"/>
    <x v="1"/>
    <s v="٢ ميكانزم"/>
    <m/>
    <n v="0"/>
    <x v="1"/>
    <s v="بيج"/>
    <s v="ترابيزه ٢ ميكانزم اسود"/>
    <n v="1"/>
    <n v="9029"/>
    <s v="مسبق الدفع"/>
    <x v="53"/>
    <x v="54"/>
    <x v="2"/>
    <m/>
    <s v="ملغي"/>
    <x v="2"/>
    <x v="1"/>
  </r>
  <r>
    <n v="123"/>
    <x v="70"/>
    <s v="العبور"/>
    <x v="6"/>
    <x v="0"/>
    <x v="0"/>
    <x v="0"/>
    <s v="منطبق"/>
    <m/>
    <n v="0"/>
    <x v="1"/>
    <s v="اسود"/>
    <s v="سرير منطبق اسود"/>
    <n v="1"/>
    <n v="10249"/>
    <s v="كاش"/>
    <x v="54"/>
    <x v="47"/>
    <x v="42"/>
    <n v="15"/>
    <s v=" محمود على"/>
    <x v="0"/>
    <x v="2"/>
  </r>
  <r>
    <n v="125"/>
    <x v="71"/>
    <s v="القاهره الجديده"/>
    <x v="5"/>
    <x v="0"/>
    <x v="0"/>
    <x v="1"/>
    <s v="دورين"/>
    <s v="ميكانزم"/>
    <n v="0"/>
    <x v="1"/>
    <s v="بنى غامق"/>
    <s v="ترابيزه دورين اسود"/>
    <n v="1"/>
    <n v="11199"/>
    <s v="كاش"/>
    <x v="45"/>
    <x v="55"/>
    <x v="42"/>
    <n v="7"/>
    <s v=" محمود على"/>
    <x v="0"/>
    <x v="0"/>
  </r>
  <r>
    <n v="127"/>
    <x v="5"/>
    <s v="مخزن شيك هومز"/>
    <x v="5"/>
    <x v="1"/>
    <x v="1"/>
    <x v="2"/>
    <s v="4*1"/>
    <s v="ارينا"/>
    <n v="120"/>
    <x v="1"/>
    <s v="روك ١٠"/>
    <s v="كنبة 4*1 اسود 120"/>
    <n v="1"/>
    <n v="8700"/>
    <s v="حساب شركه"/>
    <x v="55"/>
    <x v="56"/>
    <x v="41"/>
    <n v="15"/>
    <s v=" محمود على"/>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8ACBF3E-8CD7-44F5-A493-B7B12DD7336A}" name="Cards"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B4:E5" firstHeaderRow="0" firstDataRow="1" firstDataCol="0"/>
  <pivotFields count="30">
    <pivotField showAll="0"/>
    <pivotField dataField="1" showAll="0"/>
    <pivotField showAll="0"/>
    <pivotField showAll="0">
      <items count="11">
        <item x="8"/>
        <item x="1"/>
        <item x="3"/>
        <item x="0"/>
        <item x="7"/>
        <item x="5"/>
        <item x="6"/>
        <item x="4"/>
        <item m="1" x="9"/>
        <item x="2"/>
        <item t="default"/>
      </items>
    </pivotField>
    <pivotField showAll="0">
      <items count="3">
        <item x="0"/>
        <item x="1"/>
        <item t="default"/>
      </items>
    </pivotField>
    <pivotField showAll="0"/>
    <pivotField showAll="0">
      <items count="7">
        <item x="1"/>
        <item x="3"/>
        <item x="0"/>
        <item x="5"/>
        <item x="4"/>
        <item x="2"/>
        <item t="default"/>
      </items>
    </pivotField>
    <pivotField showAll="0"/>
    <pivotField showAll="0"/>
    <pivotField showAll="0"/>
    <pivotField showAll="0"/>
    <pivotField showAll="0"/>
    <pivotField showAll="0"/>
    <pivotField dataField="1" showAll="0"/>
    <pivotField dataField="1" showAll="0"/>
    <pivotField showAll="0"/>
    <pivotField showAll="0">
      <items count="57">
        <item x="0"/>
        <item x="1"/>
        <item x="4"/>
        <item x="3"/>
        <item x="5"/>
        <item x="6"/>
        <item x="2"/>
        <item x="8"/>
        <item x="11"/>
        <item x="10"/>
        <item x="9"/>
        <item x="12"/>
        <item x="13"/>
        <item x="14"/>
        <item x="16"/>
        <item x="15"/>
        <item x="17"/>
        <item x="18"/>
        <item x="19"/>
        <item x="20"/>
        <item x="21"/>
        <item x="22"/>
        <item x="23"/>
        <item x="46"/>
        <item x="48"/>
        <item x="47"/>
        <item x="49"/>
        <item x="24"/>
        <item x="25"/>
        <item x="26"/>
        <item x="50"/>
        <item x="28"/>
        <item x="27"/>
        <item x="29"/>
        <item x="30"/>
        <item x="31"/>
        <item x="51"/>
        <item x="33"/>
        <item x="32"/>
        <item x="34"/>
        <item x="35"/>
        <item x="36"/>
        <item x="39"/>
        <item x="37"/>
        <item x="52"/>
        <item x="38"/>
        <item x="40"/>
        <item x="41"/>
        <item x="53"/>
        <item x="43"/>
        <item x="42"/>
        <item x="54"/>
        <item x="44"/>
        <item x="45"/>
        <item x="55"/>
        <item x="7"/>
        <item t="default"/>
      </items>
    </pivotField>
    <pivotField showAll="0">
      <items count="58">
        <item x="0"/>
        <item x="4"/>
        <item x="2"/>
        <item x="5"/>
        <item x="3"/>
        <item x="1"/>
        <item x="9"/>
        <item x="7"/>
        <item x="8"/>
        <item x="12"/>
        <item x="10"/>
        <item x="13"/>
        <item x="14"/>
        <item x="15"/>
        <item x="16"/>
        <item x="17"/>
        <item x="18"/>
        <item x="19"/>
        <item x="23"/>
        <item x="24"/>
        <item x="29"/>
        <item x="28"/>
        <item x="26"/>
        <item x="11"/>
        <item x="27"/>
        <item x="20"/>
        <item x="22"/>
        <item x="51"/>
        <item x="25"/>
        <item x="36"/>
        <item x="33"/>
        <item x="34"/>
        <item x="35"/>
        <item x="50"/>
        <item x="21"/>
        <item x="38"/>
        <item x="39"/>
        <item x="37"/>
        <item x="41"/>
        <item x="42"/>
        <item x="40"/>
        <item x="53"/>
        <item x="52"/>
        <item x="43"/>
        <item x="44"/>
        <item x="45"/>
        <item x="54"/>
        <item x="47"/>
        <item x="46"/>
        <item x="30"/>
        <item x="31"/>
        <item x="32"/>
        <item x="55"/>
        <item x="49"/>
        <item x="48"/>
        <item x="56"/>
        <item x="6"/>
        <item t="default"/>
      </items>
    </pivotField>
    <pivotField showAll="0">
      <items count="44">
        <item x="0"/>
        <item x="1"/>
        <item x="5"/>
        <item x="3"/>
        <item x="4"/>
        <item x="8"/>
        <item x="6"/>
        <item x="10"/>
        <item x="7"/>
        <item x="11"/>
        <item x="12"/>
        <item x="13"/>
        <item x="9"/>
        <item x="25"/>
        <item x="15"/>
        <item x="14"/>
        <item x="19"/>
        <item x="29"/>
        <item x="28"/>
        <item x="27"/>
        <item x="23"/>
        <item x="18"/>
        <item x="16"/>
        <item x="24"/>
        <item x="22"/>
        <item x="17"/>
        <item x="20"/>
        <item x="21"/>
        <item x="30"/>
        <item x="26"/>
        <item x="32"/>
        <item x="38"/>
        <item x="33"/>
        <item x="35"/>
        <item x="36"/>
        <item x="34"/>
        <item x="31"/>
        <item x="37"/>
        <item x="40"/>
        <item x="42"/>
        <item x="39"/>
        <item x="41"/>
        <item x="2"/>
        <item t="default"/>
      </items>
    </pivotField>
    <pivotField showAll="0"/>
    <pivotField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Fields count="1">
    <field x="-2"/>
  </colFields>
  <colItems count="4">
    <i>
      <x/>
    </i>
    <i i="1">
      <x v="1"/>
    </i>
    <i i="2">
      <x v="2"/>
    </i>
    <i i="3">
      <x v="3"/>
    </i>
  </colItems>
  <dataFields count="4">
    <dataField name="Unique Products Sold" fld="1" subtotal="count" baseField="0" baseItem="1"/>
    <dataField name="Total Orders" fld="13" baseField="0" baseItem="1"/>
    <dataField name="Total Sales" fld="14" baseField="0" baseItem="2" numFmtId="169"/>
    <dataField name="Average Sales" fld="14" subtotal="average" baseField="0" baseItem="0" numFmtId="169"/>
  </dataFields>
  <formats count="5">
    <format dxfId="6">
      <pivotArea outline="0" collapsedLevelsAreSubtotals="1" fieldPosition="0">
        <references count="1">
          <reference field="4294967294" count="1" selected="0">
            <x v="2"/>
          </reference>
        </references>
      </pivotArea>
    </format>
    <format dxfId="5">
      <pivotArea outline="0" collapsedLevelsAreSubtotals="1" fieldPosition="0">
        <references count="1">
          <reference field="4294967294" count="1" selected="0">
            <x v="3"/>
          </reference>
        </references>
      </pivotArea>
    </format>
    <format dxfId="4">
      <pivotArea type="all" dataOnly="0" outline="0" fieldPosition="0"/>
    </format>
    <format dxfId="3">
      <pivotArea outline="0" collapsedLevelsAreSubtotals="1" fieldPosition="0"/>
    </format>
    <format dxfId="2">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C6541DE-E40C-4266-AFD5-7C11B7204C6D}" name="Order Delivery Status"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
  <location ref="B11:D16" firstHeaderRow="0" firstDataRow="1" firstDataCol="1"/>
  <pivotFields count="30">
    <pivotField showAll="0"/>
    <pivotField showAll="0"/>
    <pivotField showAll="0"/>
    <pivotField showAll="0">
      <items count="11">
        <item x="8"/>
        <item x="1"/>
        <item x="3"/>
        <item x="0"/>
        <item x="7"/>
        <item x="5"/>
        <item x="6"/>
        <item x="4"/>
        <item m="1" x="9"/>
        <item x="2"/>
        <item t="default"/>
      </items>
    </pivotField>
    <pivotField showAll="0">
      <items count="3">
        <item x="0"/>
        <item x="1"/>
        <item t="default"/>
      </items>
    </pivotField>
    <pivotField showAll="0"/>
    <pivotField showAll="0">
      <items count="7">
        <item x="1"/>
        <item x="3"/>
        <item x="0"/>
        <item x="5"/>
        <item x="4"/>
        <item x="2"/>
        <item t="default"/>
      </items>
    </pivotField>
    <pivotField showAll="0"/>
    <pivotField showAll="0"/>
    <pivotField showAll="0"/>
    <pivotField showAll="0"/>
    <pivotField showAll="0"/>
    <pivotField showAll="0"/>
    <pivotField showAll="0"/>
    <pivotField dataField="1" showAll="0"/>
    <pivotField showAll="0"/>
    <pivotField showAll="0">
      <items count="57">
        <item x="0"/>
        <item x="1"/>
        <item x="4"/>
        <item x="3"/>
        <item x="5"/>
        <item x="6"/>
        <item x="2"/>
        <item x="8"/>
        <item x="11"/>
        <item x="10"/>
        <item x="9"/>
        <item x="12"/>
        <item x="13"/>
        <item x="14"/>
        <item x="16"/>
        <item x="15"/>
        <item x="17"/>
        <item x="18"/>
        <item x="19"/>
        <item x="20"/>
        <item x="21"/>
        <item x="22"/>
        <item x="23"/>
        <item x="46"/>
        <item x="48"/>
        <item x="47"/>
        <item x="49"/>
        <item x="24"/>
        <item x="25"/>
        <item x="26"/>
        <item x="50"/>
        <item x="28"/>
        <item x="27"/>
        <item x="29"/>
        <item x="30"/>
        <item x="31"/>
        <item x="51"/>
        <item x="33"/>
        <item x="32"/>
        <item x="34"/>
        <item x="35"/>
        <item x="36"/>
        <item x="39"/>
        <item x="37"/>
        <item x="52"/>
        <item x="38"/>
        <item x="40"/>
        <item x="41"/>
        <item x="53"/>
        <item x="43"/>
        <item x="42"/>
        <item x="54"/>
        <item x="44"/>
        <item x="45"/>
        <item x="55"/>
        <item x="7"/>
        <item t="default"/>
      </items>
    </pivotField>
    <pivotField showAll="0">
      <items count="58">
        <item x="0"/>
        <item x="4"/>
        <item x="2"/>
        <item x="5"/>
        <item x="3"/>
        <item x="1"/>
        <item x="9"/>
        <item x="7"/>
        <item x="8"/>
        <item x="12"/>
        <item x="10"/>
        <item x="13"/>
        <item x="14"/>
        <item x="15"/>
        <item x="16"/>
        <item x="17"/>
        <item x="18"/>
        <item x="19"/>
        <item x="23"/>
        <item x="24"/>
        <item x="29"/>
        <item x="28"/>
        <item x="26"/>
        <item x="11"/>
        <item x="27"/>
        <item x="20"/>
        <item x="22"/>
        <item x="51"/>
        <item x="25"/>
        <item x="36"/>
        <item x="33"/>
        <item x="34"/>
        <item x="35"/>
        <item x="50"/>
        <item x="21"/>
        <item x="38"/>
        <item x="39"/>
        <item x="37"/>
        <item x="41"/>
        <item x="42"/>
        <item x="40"/>
        <item x="53"/>
        <item x="52"/>
        <item x="43"/>
        <item x="44"/>
        <item x="45"/>
        <item x="54"/>
        <item x="47"/>
        <item x="46"/>
        <item x="30"/>
        <item x="31"/>
        <item x="32"/>
        <item x="55"/>
        <item x="49"/>
        <item x="48"/>
        <item x="56"/>
        <item x="6"/>
        <item t="default"/>
      </items>
    </pivotField>
    <pivotField showAll="0">
      <items count="44">
        <item x="0"/>
        <item x="1"/>
        <item x="5"/>
        <item x="3"/>
        <item x="4"/>
        <item x="8"/>
        <item x="6"/>
        <item x="10"/>
        <item x="7"/>
        <item x="11"/>
        <item x="12"/>
        <item x="13"/>
        <item x="9"/>
        <item x="25"/>
        <item x="15"/>
        <item x="14"/>
        <item x="19"/>
        <item x="29"/>
        <item x="28"/>
        <item x="27"/>
        <item x="23"/>
        <item x="18"/>
        <item x="16"/>
        <item x="24"/>
        <item x="22"/>
        <item x="17"/>
        <item x="20"/>
        <item x="21"/>
        <item x="30"/>
        <item x="26"/>
        <item x="32"/>
        <item x="38"/>
        <item x="33"/>
        <item x="35"/>
        <item x="36"/>
        <item x="34"/>
        <item x="31"/>
        <item x="37"/>
        <item x="40"/>
        <item x="42"/>
        <item x="39"/>
        <item x="41"/>
        <item x="2"/>
        <item t="default"/>
      </items>
    </pivotField>
    <pivotField showAll="0"/>
    <pivotField showAll="0"/>
    <pivotField axis="axisRow" dataField="1" showAll="0" sortType="descending">
      <items count="5">
        <item x="0"/>
        <item x="1"/>
        <item x="3"/>
        <item x="2"/>
        <item t="default"/>
      </items>
      <autoSortScope>
        <pivotArea dataOnly="0" outline="0" fieldPosition="0">
          <references count="1">
            <reference field="4294967294" count="1" selected="0">
              <x v="1"/>
            </reference>
          </references>
        </pivotArea>
      </autoSortScope>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1"/>
  </rowFields>
  <rowItems count="5">
    <i>
      <x/>
    </i>
    <i>
      <x v="3"/>
    </i>
    <i>
      <x v="1"/>
    </i>
    <i>
      <x v="2"/>
    </i>
    <i t="grand">
      <x/>
    </i>
  </rowItems>
  <colFields count="1">
    <field x="-2"/>
  </colFields>
  <colItems count="2">
    <i>
      <x/>
    </i>
    <i i="1">
      <x v="1"/>
    </i>
  </colItems>
  <dataFields count="2">
    <dataField name="Total Sales" fld="14" baseField="0" baseItem="2" numFmtId="169"/>
    <dataField name="Count of الحالة" fld="21" subtotal="count" showDataAs="percentOfTotal" baseField="0" baseItem="0" numFmtId="10"/>
  </dataFields>
  <formats count="8">
    <format dxfId="14">
      <pivotArea outline="0" collapsedLevelsAreSubtotals="1" fieldPosition="0">
        <references count="1">
          <reference field="4294967294" count="1" selected="0">
            <x v="0"/>
          </reference>
        </references>
      </pivotArea>
    </format>
    <format dxfId="13">
      <pivotArea outline="0" fieldPosition="0">
        <references count="1">
          <reference field="4294967294" count="1">
            <x v="1"/>
          </reference>
        </references>
      </pivotArea>
    </format>
    <format dxfId="12">
      <pivotArea type="all" dataOnly="0" outline="0" fieldPosition="0"/>
    </format>
    <format dxfId="11">
      <pivotArea outline="0" collapsedLevelsAreSubtotals="1" fieldPosition="0"/>
    </format>
    <format dxfId="10">
      <pivotArea field="21" type="button" dataOnly="0" labelOnly="1" outline="0" axis="axisRow" fieldPosition="0"/>
    </format>
    <format dxfId="9">
      <pivotArea dataOnly="0" labelOnly="1" fieldPosition="0">
        <references count="1">
          <reference field="21" count="0"/>
        </references>
      </pivotArea>
    </format>
    <format dxfId="8">
      <pivotArea dataOnly="0" labelOnly="1" grandRow="1" outline="0" fieldPosition="0"/>
    </format>
    <format dxfId="7">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1812FEF-6815-4790-B0B5-EFA036141C1C}" name="T_Cutomers" cacheId="0" applyNumberFormats="0" applyBorderFormats="0" applyFontFormats="0" applyPatternFormats="0" applyAlignmentFormats="0" applyWidthHeightFormats="1" dataCaption="Values" updatedVersion="8" minRefreshableVersion="3" useAutoFormatting="1" colGrandTotals="0" itemPrintTitles="1" createdVersion="8" indent="0" multipleFieldFilters="0" chartFormat="13">
  <location ref="P39:R113" firstHeaderRow="1" firstDataRow="2" firstDataCol="1"/>
  <pivotFields count="30">
    <pivotField showAll="0"/>
    <pivotField axis="axisRow" showAll="0">
      <items count="73">
        <item x="13"/>
        <item x="43"/>
        <item x="63"/>
        <item x="38"/>
        <item x="45"/>
        <item x="44"/>
        <item x="7"/>
        <item x="6"/>
        <item x="34"/>
        <item x="32"/>
        <item x="55"/>
        <item x="10"/>
        <item x="39"/>
        <item x="26"/>
        <item x="19"/>
        <item x="42"/>
        <item x="16"/>
        <item x="29"/>
        <item x="53"/>
        <item x="25"/>
        <item x="47"/>
        <item x="8"/>
        <item x="69"/>
        <item x="61"/>
        <item x="15"/>
        <item x="20"/>
        <item x="50"/>
        <item x="58"/>
        <item x="0"/>
        <item x="28"/>
        <item x="36"/>
        <item x="62"/>
        <item x="54"/>
        <item x="52"/>
        <item x="4"/>
        <item x="33"/>
        <item x="23"/>
        <item x="3"/>
        <item x="2"/>
        <item x="5"/>
        <item x="14"/>
        <item x="51"/>
        <item x="27"/>
        <item x="41"/>
        <item x="30"/>
        <item x="18"/>
        <item x="21"/>
        <item x="9"/>
        <item x="64"/>
        <item x="46"/>
        <item x="37"/>
        <item x="12"/>
        <item x="31"/>
        <item x="11"/>
        <item x="66"/>
        <item x="48"/>
        <item x="70"/>
        <item x="67"/>
        <item x="1"/>
        <item x="57"/>
        <item x="35"/>
        <item x="49"/>
        <item x="24"/>
        <item x="60"/>
        <item x="68"/>
        <item x="71"/>
        <item x="22"/>
        <item x="65"/>
        <item x="56"/>
        <item x="59"/>
        <item x="40"/>
        <item x="17"/>
        <item t="default"/>
      </items>
    </pivotField>
    <pivotField showAll="0"/>
    <pivotField showAll="0">
      <items count="11">
        <item x="8"/>
        <item x="1"/>
        <item x="3"/>
        <item x="0"/>
        <item x="7"/>
        <item x="5"/>
        <item x="6"/>
        <item x="4"/>
        <item m="1" x="9"/>
        <item x="2"/>
        <item t="default"/>
      </items>
    </pivotField>
    <pivotField axis="axisCol" dataField="1" multipleItemSelectionAllowed="1" showAll="0">
      <items count="3">
        <item x="0"/>
        <item x="1"/>
        <item t="default"/>
      </items>
    </pivotField>
    <pivotField showAll="0"/>
    <pivotField showAll="0">
      <items count="7">
        <item x="1"/>
        <item x="3"/>
        <item x="0"/>
        <item x="5"/>
        <item x="4"/>
        <item x="2"/>
        <item t="default"/>
      </items>
    </pivotField>
    <pivotField showAll="0"/>
    <pivotField showAll="0"/>
    <pivotField showAll="0"/>
    <pivotField showAll="0"/>
    <pivotField showAll="0"/>
    <pivotField showAll="0"/>
    <pivotField showAll="0"/>
    <pivotField showAll="0"/>
    <pivotField showAll="0"/>
    <pivotField showAll="0">
      <items count="57">
        <item x="0"/>
        <item x="1"/>
        <item x="4"/>
        <item x="3"/>
        <item x="5"/>
        <item x="6"/>
        <item x="2"/>
        <item x="8"/>
        <item x="11"/>
        <item x="10"/>
        <item x="9"/>
        <item x="12"/>
        <item x="13"/>
        <item x="14"/>
        <item x="16"/>
        <item x="15"/>
        <item x="17"/>
        <item x="18"/>
        <item x="19"/>
        <item x="20"/>
        <item x="21"/>
        <item x="22"/>
        <item x="23"/>
        <item x="46"/>
        <item x="48"/>
        <item x="47"/>
        <item x="49"/>
        <item x="24"/>
        <item x="25"/>
        <item x="26"/>
        <item x="50"/>
        <item x="28"/>
        <item x="27"/>
        <item x="29"/>
        <item x="30"/>
        <item x="31"/>
        <item x="51"/>
        <item x="33"/>
        <item x="32"/>
        <item x="34"/>
        <item x="35"/>
        <item x="36"/>
        <item x="39"/>
        <item x="37"/>
        <item x="52"/>
        <item x="38"/>
        <item x="40"/>
        <item x="41"/>
        <item x="53"/>
        <item x="43"/>
        <item x="42"/>
        <item x="54"/>
        <item x="44"/>
        <item x="45"/>
        <item x="55"/>
        <item x="7"/>
        <item t="default"/>
      </items>
    </pivotField>
    <pivotField showAll="0">
      <items count="58">
        <item x="0"/>
        <item x="4"/>
        <item x="2"/>
        <item x="5"/>
        <item x="3"/>
        <item x="1"/>
        <item x="9"/>
        <item x="7"/>
        <item x="8"/>
        <item x="12"/>
        <item x="10"/>
        <item x="13"/>
        <item x="14"/>
        <item x="15"/>
        <item x="16"/>
        <item x="17"/>
        <item x="18"/>
        <item x="19"/>
        <item x="23"/>
        <item x="24"/>
        <item x="29"/>
        <item x="28"/>
        <item x="26"/>
        <item x="11"/>
        <item x="27"/>
        <item x="20"/>
        <item x="22"/>
        <item x="51"/>
        <item x="25"/>
        <item x="36"/>
        <item x="33"/>
        <item x="34"/>
        <item x="35"/>
        <item x="50"/>
        <item x="21"/>
        <item x="38"/>
        <item x="39"/>
        <item x="37"/>
        <item x="41"/>
        <item x="42"/>
        <item x="40"/>
        <item x="53"/>
        <item x="52"/>
        <item x="43"/>
        <item x="44"/>
        <item x="45"/>
        <item x="54"/>
        <item x="47"/>
        <item x="46"/>
        <item x="30"/>
        <item x="31"/>
        <item x="32"/>
        <item x="55"/>
        <item x="49"/>
        <item x="48"/>
        <item x="56"/>
        <item x="6"/>
        <item t="default"/>
      </items>
    </pivotField>
    <pivotField showAll="0">
      <items count="44">
        <item x="0"/>
        <item x="1"/>
        <item x="5"/>
        <item x="3"/>
        <item x="4"/>
        <item x="8"/>
        <item x="6"/>
        <item x="10"/>
        <item x="7"/>
        <item x="11"/>
        <item x="12"/>
        <item x="13"/>
        <item x="9"/>
        <item x="25"/>
        <item x="15"/>
        <item x="14"/>
        <item x="19"/>
        <item x="29"/>
        <item x="28"/>
        <item x="27"/>
        <item x="23"/>
        <item x="18"/>
        <item x="16"/>
        <item x="24"/>
        <item x="22"/>
        <item x="17"/>
        <item x="20"/>
        <item x="21"/>
        <item x="30"/>
        <item x="26"/>
        <item x="32"/>
        <item x="38"/>
        <item x="33"/>
        <item x="35"/>
        <item x="36"/>
        <item x="34"/>
        <item x="31"/>
        <item x="37"/>
        <item x="40"/>
        <item x="42"/>
        <item x="39"/>
        <item x="41"/>
        <item x="2"/>
        <item t="default"/>
      </items>
    </pivotField>
    <pivotField showAll="0"/>
    <pivotField showAll="0"/>
    <pivotField showAll="0">
      <items count="5">
        <item x="0"/>
        <item h="1" x="1"/>
        <item h="1" x="3"/>
        <item h="1" x="2"/>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1"/>
        <item x="2"/>
        <item x="3"/>
        <item x="4"/>
        <item x="5"/>
        <item x="6"/>
        <item h="1" x="0"/>
        <item x="7"/>
        <item x="8"/>
        <item x="9"/>
        <item x="10"/>
        <item x="11"/>
        <item x="12"/>
        <item x="13"/>
        <item t="default"/>
      </items>
    </pivotField>
  </pivotFields>
  <rowFields count="1">
    <field x="1"/>
  </rowFields>
  <rowItems count="7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t="grand">
      <x/>
    </i>
  </rowItems>
  <colFields count="1">
    <field x="4"/>
  </colFields>
  <colItems count="2">
    <i>
      <x/>
    </i>
    <i>
      <x v="1"/>
    </i>
  </colItems>
  <dataFields count="1">
    <dataField name="Count of نوع العميل" fld="4" subtotal="count" baseField="0" baseItem="0"/>
  </dataFields>
  <formats count="5">
    <format dxfId="19">
      <pivotArea type="all" dataOnly="0" outline="0" fieldPosition="0"/>
    </format>
    <format dxfId="18">
      <pivotArea outline="0" collapsedLevelsAreSubtotals="1" fieldPosition="0"/>
    </format>
    <format dxfId="17">
      <pivotArea field="21" type="button" dataOnly="0" labelOnly="1" outline="0"/>
    </format>
    <format dxfId="16">
      <pivotArea dataOnly="0" labelOnly="1" grandRow="1" outline="0" fieldPosition="0"/>
    </format>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5AC06B3-AF1D-4DEB-9C64-1A6D7DFF6416}" name="Top 5 Sales by color" cacheId="0" applyNumberFormats="0" applyBorderFormats="0" applyFontFormats="0" applyPatternFormats="0" applyAlignmentFormats="0" applyWidthHeightFormats="1" dataCaption="Values" updatedVersion="8" minRefreshableVersion="3" useAutoFormatting="1" rowGrandTotals="0" itemPrintTitles="1" createdVersion="8" indent="0" multipleFieldFilters="0" chartFormat="26">
  <location ref="AM7:AN19" firstHeaderRow="1" firstDataRow="1" firstDataCol="1"/>
  <pivotFields count="30">
    <pivotField showAll="0"/>
    <pivotField showAll="0"/>
    <pivotField showAll="0"/>
    <pivotField showAll="0">
      <items count="11">
        <item x="8"/>
        <item x="1"/>
        <item x="3"/>
        <item x="0"/>
        <item x="7"/>
        <item x="5"/>
        <item x="6"/>
        <item x="4"/>
        <item m="1" x="9"/>
        <item x="2"/>
        <item t="default"/>
      </items>
    </pivotField>
    <pivotField showAll="0">
      <items count="3">
        <item x="0"/>
        <item x="1"/>
        <item t="default"/>
      </items>
    </pivotField>
    <pivotField showAll="0" sortType="ascending">
      <autoSortScope>
        <pivotArea dataOnly="0" outline="0" fieldPosition="0">
          <references count="1">
            <reference field="4294967294" count="1" selected="0">
              <x v="0"/>
            </reference>
          </references>
        </pivotArea>
      </autoSortScope>
    </pivotField>
    <pivotField showAll="0">
      <items count="7">
        <item x="1"/>
        <item x="3"/>
        <item x="0"/>
        <item x="5"/>
        <item x="4"/>
        <item x="2"/>
        <item t="default"/>
      </items>
    </pivotField>
    <pivotField showAll="0"/>
    <pivotField showAll="0"/>
    <pivotField showAll="0"/>
    <pivotField axis="axisRow" showAll="0" sortType="descending">
      <items count="14">
        <item x="0"/>
        <item x="2"/>
        <item x="10"/>
        <item x="1"/>
        <item x="6"/>
        <item x="9"/>
        <item x="5"/>
        <item x="8"/>
        <item x="12"/>
        <item x="4"/>
        <item h="1" x="3"/>
        <item x="7"/>
        <item x="11"/>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pivotField showAll="0">
      <items count="57">
        <item x="0"/>
        <item x="1"/>
        <item x="4"/>
        <item x="3"/>
        <item x="5"/>
        <item x="6"/>
        <item x="2"/>
        <item x="8"/>
        <item x="11"/>
        <item x="10"/>
        <item x="9"/>
        <item x="12"/>
        <item x="13"/>
        <item x="14"/>
        <item x="16"/>
        <item x="15"/>
        <item x="17"/>
        <item x="18"/>
        <item x="19"/>
        <item x="20"/>
        <item x="21"/>
        <item x="22"/>
        <item x="23"/>
        <item x="46"/>
        <item x="48"/>
        <item x="47"/>
        <item x="49"/>
        <item x="24"/>
        <item x="25"/>
        <item x="26"/>
        <item x="50"/>
        <item x="28"/>
        <item x="27"/>
        <item x="29"/>
        <item x="30"/>
        <item x="31"/>
        <item x="51"/>
        <item x="33"/>
        <item x="32"/>
        <item x="34"/>
        <item x="35"/>
        <item x="36"/>
        <item x="39"/>
        <item x="37"/>
        <item x="52"/>
        <item x="38"/>
        <item x="40"/>
        <item x="41"/>
        <item x="53"/>
        <item x="43"/>
        <item x="42"/>
        <item x="54"/>
        <item x="44"/>
        <item x="45"/>
        <item x="55"/>
        <item x="7"/>
        <item t="default"/>
      </items>
    </pivotField>
    <pivotField showAll="0">
      <items count="58">
        <item x="0"/>
        <item x="4"/>
        <item x="2"/>
        <item x="5"/>
        <item x="3"/>
        <item x="1"/>
        <item x="9"/>
        <item x="7"/>
        <item x="8"/>
        <item x="12"/>
        <item x="10"/>
        <item x="13"/>
        <item x="14"/>
        <item x="15"/>
        <item x="16"/>
        <item x="17"/>
        <item x="18"/>
        <item x="19"/>
        <item x="23"/>
        <item x="24"/>
        <item x="29"/>
        <item x="28"/>
        <item x="26"/>
        <item x="11"/>
        <item x="27"/>
        <item x="20"/>
        <item x="22"/>
        <item x="51"/>
        <item x="25"/>
        <item x="36"/>
        <item x="33"/>
        <item x="34"/>
        <item x="35"/>
        <item x="50"/>
        <item x="21"/>
        <item x="38"/>
        <item x="39"/>
        <item x="37"/>
        <item x="41"/>
        <item x="42"/>
        <item x="40"/>
        <item x="53"/>
        <item x="52"/>
        <item x="43"/>
        <item x="44"/>
        <item x="45"/>
        <item x="54"/>
        <item x="47"/>
        <item x="46"/>
        <item x="30"/>
        <item x="31"/>
        <item x="32"/>
        <item x="55"/>
        <item x="49"/>
        <item x="48"/>
        <item x="56"/>
        <item x="6"/>
        <item t="default"/>
      </items>
    </pivotField>
    <pivotField showAll="0">
      <items count="44">
        <item x="0"/>
        <item x="1"/>
        <item x="5"/>
        <item x="3"/>
        <item x="4"/>
        <item x="8"/>
        <item x="6"/>
        <item x="10"/>
        <item x="7"/>
        <item x="11"/>
        <item x="12"/>
        <item x="13"/>
        <item x="9"/>
        <item x="25"/>
        <item x="15"/>
        <item x="14"/>
        <item x="19"/>
        <item x="29"/>
        <item x="28"/>
        <item x="27"/>
        <item x="23"/>
        <item x="18"/>
        <item x="16"/>
        <item x="24"/>
        <item x="22"/>
        <item x="17"/>
        <item x="20"/>
        <item x="21"/>
        <item x="30"/>
        <item x="26"/>
        <item x="32"/>
        <item x="38"/>
        <item x="33"/>
        <item x="35"/>
        <item x="36"/>
        <item x="34"/>
        <item x="31"/>
        <item x="37"/>
        <item x="40"/>
        <item x="42"/>
        <item x="39"/>
        <item x="41"/>
        <item x="2"/>
        <item t="default"/>
      </items>
    </pivotField>
    <pivotField showAll="0"/>
    <pivotField showAll="0"/>
    <pivotField showAll="0">
      <items count="5">
        <item x="0"/>
        <item x="1"/>
        <item x="3"/>
        <item x="2"/>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1"/>
        <item x="2"/>
        <item x="3"/>
        <item x="4"/>
        <item x="5"/>
        <item x="6"/>
        <item h="1" x="0"/>
        <item x="7"/>
        <item x="8"/>
        <item x="9"/>
        <item x="10"/>
        <item x="11"/>
        <item x="12"/>
        <item x="13"/>
        <item t="default"/>
      </items>
    </pivotField>
  </pivotFields>
  <rowFields count="1">
    <field x="10"/>
  </rowFields>
  <rowItems count="12">
    <i>
      <x v="3"/>
    </i>
    <i>
      <x/>
    </i>
    <i>
      <x v="9"/>
    </i>
    <i>
      <x v="5"/>
    </i>
    <i>
      <x v="1"/>
    </i>
    <i>
      <x v="7"/>
    </i>
    <i>
      <x v="6"/>
    </i>
    <i>
      <x v="4"/>
    </i>
    <i>
      <x v="11"/>
    </i>
    <i>
      <x v="8"/>
    </i>
    <i>
      <x v="12"/>
    </i>
    <i>
      <x v="2"/>
    </i>
  </rowItems>
  <colItems count="1">
    <i/>
  </colItems>
  <dataFields count="1">
    <dataField name="Sum of سعر البيع" fld="14" baseField="0" baseItem="0"/>
  </dataFields>
  <formats count="5">
    <format dxfId="24">
      <pivotArea type="all" dataOnly="0" outline="0" fieldPosition="0"/>
    </format>
    <format dxfId="23">
      <pivotArea outline="0" collapsedLevelsAreSubtotals="1" fieldPosition="0"/>
    </format>
    <format dxfId="22">
      <pivotArea field="21" type="button" dataOnly="0" labelOnly="1" outline="0"/>
    </format>
    <format dxfId="21">
      <pivotArea dataOnly="0" labelOnly="1" grandRow="1" outline="0" fieldPosition="0"/>
    </format>
    <format dxfId="20">
      <pivotArea outline="0" collapsedLevelsAreSubtotals="1" fieldPosition="0"/>
    </format>
  </formats>
  <chartFormats count="1">
    <chartFormat chart="2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DE49FFF-C01E-4D5C-BD14-8262F3AA502C}" name="Monthly Trend of On-Time Delivered Orders" cacheId="0" applyNumberFormats="0" applyBorderFormats="0" applyFontFormats="0" applyPatternFormats="0" applyAlignmentFormats="0" applyWidthHeightFormats="1" dataCaption="Values" updatedVersion="8" minRefreshableVersion="3" useAutoFormatting="1" colGrandTotals="0" itemPrintTitles="1" createdVersion="8" indent="0" multipleFieldFilters="0" chartFormat="14">
  <location ref="L11:M19" firstHeaderRow="1" firstDataRow="2" firstDataCol="1"/>
  <pivotFields count="30">
    <pivotField showAll="0"/>
    <pivotField showAll="0"/>
    <pivotField showAll="0"/>
    <pivotField showAll="0">
      <items count="11">
        <item x="8"/>
        <item x="1"/>
        <item x="3"/>
        <item x="0"/>
        <item x="7"/>
        <item x="5"/>
        <item x="6"/>
        <item x="4"/>
        <item m="1" x="9"/>
        <item x="2"/>
        <item t="default"/>
      </items>
    </pivotField>
    <pivotField showAll="0">
      <items count="3">
        <item x="0"/>
        <item x="1"/>
        <item t="default"/>
      </items>
    </pivotField>
    <pivotField showAll="0"/>
    <pivotField showAll="0">
      <items count="7">
        <item x="1"/>
        <item x="3"/>
        <item x="0"/>
        <item x="5"/>
        <item x="4"/>
        <item x="2"/>
        <item t="default"/>
      </items>
    </pivotField>
    <pivotField showAll="0"/>
    <pivotField showAll="0"/>
    <pivotField showAll="0"/>
    <pivotField showAll="0"/>
    <pivotField showAll="0"/>
    <pivotField showAll="0"/>
    <pivotField dataField="1" showAll="0"/>
    <pivotField showAll="0"/>
    <pivotField showAll="0"/>
    <pivotField showAll="0">
      <items count="57">
        <item x="0"/>
        <item x="1"/>
        <item x="4"/>
        <item x="3"/>
        <item x="5"/>
        <item x="6"/>
        <item x="2"/>
        <item x="8"/>
        <item x="11"/>
        <item x="10"/>
        <item x="9"/>
        <item x="12"/>
        <item x="13"/>
        <item x="14"/>
        <item x="16"/>
        <item x="15"/>
        <item x="17"/>
        <item x="18"/>
        <item x="19"/>
        <item x="20"/>
        <item x="21"/>
        <item x="22"/>
        <item x="23"/>
        <item x="46"/>
        <item x="48"/>
        <item x="47"/>
        <item x="49"/>
        <item x="24"/>
        <item x="25"/>
        <item x="26"/>
        <item x="50"/>
        <item x="28"/>
        <item x="27"/>
        <item x="29"/>
        <item x="30"/>
        <item x="31"/>
        <item x="51"/>
        <item x="33"/>
        <item x="32"/>
        <item x="34"/>
        <item x="35"/>
        <item x="36"/>
        <item x="39"/>
        <item x="37"/>
        <item x="52"/>
        <item x="38"/>
        <item x="40"/>
        <item x="41"/>
        <item x="53"/>
        <item x="43"/>
        <item x="42"/>
        <item x="54"/>
        <item x="44"/>
        <item x="45"/>
        <item x="55"/>
        <item x="7"/>
        <item t="default"/>
      </items>
    </pivotField>
    <pivotField showAll="0">
      <items count="58">
        <item x="0"/>
        <item x="4"/>
        <item x="2"/>
        <item x="5"/>
        <item x="3"/>
        <item x="1"/>
        <item x="9"/>
        <item x="7"/>
        <item x="8"/>
        <item x="12"/>
        <item x="10"/>
        <item x="13"/>
        <item x="14"/>
        <item x="15"/>
        <item x="16"/>
        <item x="17"/>
        <item x="18"/>
        <item x="19"/>
        <item x="23"/>
        <item x="24"/>
        <item x="29"/>
        <item x="28"/>
        <item x="26"/>
        <item x="11"/>
        <item x="27"/>
        <item x="20"/>
        <item x="22"/>
        <item x="51"/>
        <item x="25"/>
        <item x="36"/>
        <item x="33"/>
        <item x="34"/>
        <item x="35"/>
        <item x="50"/>
        <item x="21"/>
        <item x="38"/>
        <item x="39"/>
        <item x="37"/>
        <item x="41"/>
        <item x="42"/>
        <item x="40"/>
        <item x="53"/>
        <item x="52"/>
        <item x="43"/>
        <item x="44"/>
        <item x="45"/>
        <item x="54"/>
        <item x="47"/>
        <item x="46"/>
        <item x="30"/>
        <item x="31"/>
        <item x="32"/>
        <item x="55"/>
        <item x="49"/>
        <item x="48"/>
        <item x="56"/>
        <item x="6"/>
        <item t="default"/>
      </items>
    </pivotField>
    <pivotField showAll="0">
      <items count="44">
        <item x="0"/>
        <item x="1"/>
        <item x="5"/>
        <item x="3"/>
        <item x="4"/>
        <item x="8"/>
        <item x="6"/>
        <item x="10"/>
        <item x="7"/>
        <item x="11"/>
        <item x="12"/>
        <item x="13"/>
        <item x="9"/>
        <item x="25"/>
        <item x="15"/>
        <item x="14"/>
        <item x="19"/>
        <item x="29"/>
        <item x="28"/>
        <item x="27"/>
        <item x="23"/>
        <item x="18"/>
        <item x="16"/>
        <item x="24"/>
        <item x="22"/>
        <item x="17"/>
        <item x="20"/>
        <item x="21"/>
        <item x="30"/>
        <item x="26"/>
        <item x="32"/>
        <item x="38"/>
        <item x="33"/>
        <item x="35"/>
        <item x="36"/>
        <item x="34"/>
        <item x="31"/>
        <item x="37"/>
        <item x="40"/>
        <item x="42"/>
        <item x="39"/>
        <item x="41"/>
        <item x="2"/>
        <item t="default"/>
      </items>
    </pivotField>
    <pivotField showAll="0"/>
    <pivotField showAll="0"/>
    <pivotField axis="axisCol" showAll="0">
      <items count="5">
        <item x="0"/>
        <item h="1" x="1"/>
        <item h="1" x="3"/>
        <item h="1" x="2"/>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5">
        <item x="1"/>
        <item x="2"/>
        <item x="3"/>
        <item x="4"/>
        <item x="5"/>
        <item x="6"/>
        <item h="1" x="0"/>
        <item x="7"/>
        <item x="8"/>
        <item x="9"/>
        <item x="10"/>
        <item x="11"/>
        <item x="12"/>
        <item x="13"/>
        <item t="default"/>
      </items>
    </pivotField>
  </pivotFields>
  <rowFields count="1">
    <field x="29"/>
  </rowFields>
  <rowItems count="7">
    <i>
      <x v="7"/>
    </i>
    <i>
      <x v="8"/>
    </i>
    <i>
      <x v="9"/>
    </i>
    <i>
      <x v="10"/>
    </i>
    <i>
      <x v="11"/>
    </i>
    <i>
      <x v="12"/>
    </i>
    <i t="grand">
      <x/>
    </i>
  </rowItems>
  <colFields count="1">
    <field x="21"/>
  </colFields>
  <colItems count="1">
    <i>
      <x/>
    </i>
  </colItems>
  <dataFields count="1">
    <dataField name="Sum of الكمية" fld="13" baseField="0" baseItem="0"/>
  </dataFields>
  <formats count="5">
    <format dxfId="29">
      <pivotArea type="all" dataOnly="0" outline="0" fieldPosition="0"/>
    </format>
    <format dxfId="28">
      <pivotArea outline="0" collapsedLevelsAreSubtotals="1" fieldPosition="0"/>
    </format>
    <format dxfId="27">
      <pivotArea field="21" type="button" dataOnly="0" labelOnly="1" outline="0" axis="axisCol" fieldPosition="0"/>
    </format>
    <format dxfId="26">
      <pivotArea dataOnly="0" labelOnly="1" fieldPosition="0">
        <references count="1">
          <reference field="21" count="0"/>
        </references>
      </pivotArea>
    </format>
    <format dxfId="25">
      <pivotArea dataOnly="0" labelOnly="1" grandRow="1" outline="0" fieldPosition="0"/>
    </format>
  </formats>
  <chartFormats count="3">
    <chartFormat chart="3" format="2"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5E9A680-0FD6-4811-B7B9-7B6AB6CFA9C6}" name="Total sales &amp; orders by area" cacheId="0" applyNumberFormats="0" applyBorderFormats="0" applyFontFormats="0" applyPatternFormats="0" applyAlignmentFormats="0" applyWidthHeightFormats="1" dataCaption="Values" updatedVersion="8" minRefreshableVersion="3" useAutoFormatting="1" colGrandTotals="0" itemPrintTitles="1" createdVersion="8" indent="0" multipleFieldFilters="0" chartFormat="13">
  <location ref="U9:W19" firstHeaderRow="0" firstDataRow="1" firstDataCol="1"/>
  <pivotFields count="30">
    <pivotField showAll="0"/>
    <pivotField showAll="0" sortType="descending">
      <autoSortScope>
        <pivotArea dataOnly="0" outline="0" fieldPosition="0">
          <references count="1">
            <reference field="4294967294" count="1" selected="0">
              <x v="1"/>
            </reference>
          </references>
        </pivotArea>
      </autoSortScope>
    </pivotField>
    <pivotField showAll="0"/>
    <pivotField axis="axisRow" showAll="0" sortType="descending">
      <items count="11">
        <item x="8"/>
        <item x="1"/>
        <item x="3"/>
        <item x="0"/>
        <item x="7"/>
        <item x="5"/>
        <item x="6"/>
        <item x="4"/>
        <item m="1" x="9"/>
        <item x="2"/>
        <item t="default"/>
      </items>
      <autoSortScope>
        <pivotArea dataOnly="0" outline="0" fieldPosition="0">
          <references count="1">
            <reference field="4294967294" count="1" selected="0">
              <x v="1"/>
            </reference>
          </references>
        </pivotArea>
      </autoSortScope>
    </pivotField>
    <pivotField showAll="0">
      <items count="3">
        <item x="0"/>
        <item x="1"/>
        <item t="default"/>
      </items>
    </pivotField>
    <pivotField showAll="0"/>
    <pivotField showAll="0">
      <items count="7">
        <item x="1"/>
        <item x="3"/>
        <item x="0"/>
        <item x="5"/>
        <item x="4"/>
        <item x="2"/>
        <item t="default"/>
      </items>
    </pivotField>
    <pivotField showAll="0"/>
    <pivotField showAll="0"/>
    <pivotField showAll="0"/>
    <pivotField showAll="0"/>
    <pivotField showAll="0"/>
    <pivotField showAll="0"/>
    <pivotField dataField="1" showAll="0"/>
    <pivotField dataField="1" showAll="0"/>
    <pivotField showAll="0"/>
    <pivotField showAll="0">
      <items count="57">
        <item x="0"/>
        <item x="1"/>
        <item x="4"/>
        <item x="3"/>
        <item x="5"/>
        <item x="6"/>
        <item x="2"/>
        <item x="8"/>
        <item x="11"/>
        <item x="10"/>
        <item x="9"/>
        <item x="12"/>
        <item x="13"/>
        <item x="14"/>
        <item x="16"/>
        <item x="15"/>
        <item x="17"/>
        <item x="18"/>
        <item x="19"/>
        <item x="20"/>
        <item x="21"/>
        <item x="22"/>
        <item x="23"/>
        <item x="46"/>
        <item x="48"/>
        <item x="47"/>
        <item x="49"/>
        <item x="24"/>
        <item x="25"/>
        <item x="26"/>
        <item x="50"/>
        <item x="28"/>
        <item x="27"/>
        <item x="29"/>
        <item x="30"/>
        <item x="31"/>
        <item x="51"/>
        <item x="33"/>
        <item x="32"/>
        <item x="34"/>
        <item x="35"/>
        <item x="36"/>
        <item x="39"/>
        <item x="37"/>
        <item x="52"/>
        <item x="38"/>
        <item x="40"/>
        <item x="41"/>
        <item x="53"/>
        <item x="43"/>
        <item x="42"/>
        <item x="54"/>
        <item x="44"/>
        <item x="45"/>
        <item x="55"/>
        <item x="7"/>
        <item t="default"/>
      </items>
    </pivotField>
    <pivotField showAll="0">
      <items count="58">
        <item x="0"/>
        <item x="4"/>
        <item x="2"/>
        <item x="5"/>
        <item x="3"/>
        <item x="1"/>
        <item x="9"/>
        <item x="7"/>
        <item x="8"/>
        <item x="12"/>
        <item x="10"/>
        <item x="13"/>
        <item x="14"/>
        <item x="15"/>
        <item x="16"/>
        <item x="17"/>
        <item x="18"/>
        <item x="19"/>
        <item x="23"/>
        <item x="24"/>
        <item x="29"/>
        <item x="28"/>
        <item x="26"/>
        <item x="11"/>
        <item x="27"/>
        <item x="20"/>
        <item x="22"/>
        <item x="51"/>
        <item x="25"/>
        <item x="36"/>
        <item x="33"/>
        <item x="34"/>
        <item x="35"/>
        <item x="50"/>
        <item x="21"/>
        <item x="38"/>
        <item x="39"/>
        <item x="37"/>
        <item x="41"/>
        <item x="42"/>
        <item x="40"/>
        <item x="53"/>
        <item x="52"/>
        <item x="43"/>
        <item x="44"/>
        <item x="45"/>
        <item x="54"/>
        <item x="47"/>
        <item x="46"/>
        <item x="30"/>
        <item x="31"/>
        <item x="32"/>
        <item x="55"/>
        <item x="49"/>
        <item x="48"/>
        <item x="56"/>
        <item x="6"/>
        <item t="default"/>
      </items>
    </pivotField>
    <pivotField showAll="0">
      <items count="44">
        <item x="0"/>
        <item x="1"/>
        <item x="5"/>
        <item x="3"/>
        <item x="4"/>
        <item x="8"/>
        <item x="6"/>
        <item x="10"/>
        <item x="7"/>
        <item x="11"/>
        <item x="12"/>
        <item x="13"/>
        <item x="9"/>
        <item x="25"/>
        <item x="15"/>
        <item x="14"/>
        <item x="19"/>
        <item x="29"/>
        <item x="28"/>
        <item x="27"/>
        <item x="23"/>
        <item x="18"/>
        <item x="16"/>
        <item x="24"/>
        <item x="22"/>
        <item x="17"/>
        <item x="20"/>
        <item x="21"/>
        <item x="30"/>
        <item x="26"/>
        <item x="32"/>
        <item x="38"/>
        <item x="33"/>
        <item x="35"/>
        <item x="36"/>
        <item x="34"/>
        <item x="31"/>
        <item x="37"/>
        <item x="40"/>
        <item x="42"/>
        <item x="39"/>
        <item x="41"/>
        <item x="2"/>
        <item t="default"/>
      </items>
    </pivotField>
    <pivotField showAll="0"/>
    <pivotField showAll="0"/>
    <pivotField showAll="0">
      <items count="5">
        <item x="0"/>
        <item h="1" x="1"/>
        <item h="1" x="3"/>
        <item h="1" x="2"/>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1"/>
        <item x="2"/>
        <item x="3"/>
        <item x="4"/>
        <item x="5"/>
        <item x="6"/>
        <item h="1" x="0"/>
        <item x="7"/>
        <item x="8"/>
        <item x="9"/>
        <item x="10"/>
        <item x="11"/>
        <item x="12"/>
        <item x="13"/>
        <item t="default"/>
      </items>
    </pivotField>
  </pivotFields>
  <rowFields count="1">
    <field x="3"/>
  </rowFields>
  <rowItems count="10">
    <i>
      <x v="5"/>
    </i>
    <i>
      <x v="3"/>
    </i>
    <i>
      <x v="7"/>
    </i>
    <i>
      <x v="4"/>
    </i>
    <i>
      <x v="6"/>
    </i>
    <i>
      <x v="1"/>
    </i>
    <i>
      <x v="2"/>
    </i>
    <i>
      <x v="9"/>
    </i>
    <i>
      <x/>
    </i>
    <i t="grand">
      <x/>
    </i>
  </rowItems>
  <colFields count="1">
    <field x="-2"/>
  </colFields>
  <colItems count="2">
    <i>
      <x/>
    </i>
    <i i="1">
      <x v="1"/>
    </i>
  </colItems>
  <dataFields count="2">
    <dataField name="Sum of الكمية" fld="13" baseField="0" baseItem="0"/>
    <dataField name="Sum of سعر البيع" fld="14" baseField="0" baseItem="0" numFmtId="169"/>
  </dataFields>
  <formats count="5">
    <format dxfId="34">
      <pivotArea type="all" dataOnly="0" outline="0" fieldPosition="0"/>
    </format>
    <format dxfId="33">
      <pivotArea outline="0" collapsedLevelsAreSubtotals="1" fieldPosition="0"/>
    </format>
    <format dxfId="32">
      <pivotArea field="21" type="button" dataOnly="0" labelOnly="1" outline="0"/>
    </format>
    <format dxfId="31">
      <pivotArea dataOnly="0" labelOnly="1" grandRow="1" outline="0" fieldPosition="0"/>
    </format>
    <format dxfId="3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7EE9373-A155-4302-9FCF-ED9A66FEECFE}" name="Total sales by Prouct" cacheId="0" applyNumberFormats="0" applyBorderFormats="0" applyFontFormats="0" applyPatternFormats="0" applyAlignmentFormats="0" applyWidthHeightFormats="1" dataCaption="Values" updatedVersion="8" minRefreshableVersion="3" useAutoFormatting="1" rowGrandTotals="0" itemPrintTitles="1" createdVersion="8" indent="0" multipleFieldFilters="0" chartFormat="26">
  <location ref="AJ7:AK13" firstHeaderRow="1" firstDataRow="1" firstDataCol="1"/>
  <pivotFields count="30">
    <pivotField showAll="0"/>
    <pivotField showAll="0"/>
    <pivotField showAll="0"/>
    <pivotField showAll="0">
      <items count="11">
        <item x="8"/>
        <item x="1"/>
        <item x="3"/>
        <item x="0"/>
        <item x="7"/>
        <item x="5"/>
        <item x="6"/>
        <item x="4"/>
        <item m="1" x="9"/>
        <item x="2"/>
        <item t="default"/>
      </items>
    </pivotField>
    <pivotField showAll="0">
      <items count="3">
        <item x="0"/>
        <item x="1"/>
        <item t="default"/>
      </items>
    </pivotField>
    <pivotField showAll="0" sortType="ascending">
      <autoSortScope>
        <pivotArea dataOnly="0" outline="0" fieldPosition="0">
          <references count="1">
            <reference field="4294967294" count="1" selected="0">
              <x v="0"/>
            </reference>
          </references>
        </pivotArea>
      </autoSortScope>
    </pivotField>
    <pivotField axis="axisRow" showAll="0" sortType="descending">
      <items count="7">
        <item x="1"/>
        <item x="3"/>
        <item x="0"/>
        <item x="5"/>
        <item x="4"/>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dataField="1" showAll="0"/>
    <pivotField showAll="0"/>
    <pivotField showAll="0">
      <items count="57">
        <item x="0"/>
        <item x="1"/>
        <item x="4"/>
        <item x="3"/>
        <item x="5"/>
        <item x="6"/>
        <item x="2"/>
        <item x="8"/>
        <item x="11"/>
        <item x="10"/>
        <item x="9"/>
        <item x="12"/>
        <item x="13"/>
        <item x="14"/>
        <item x="16"/>
        <item x="15"/>
        <item x="17"/>
        <item x="18"/>
        <item x="19"/>
        <item x="20"/>
        <item x="21"/>
        <item x="22"/>
        <item x="23"/>
        <item x="46"/>
        <item x="48"/>
        <item x="47"/>
        <item x="49"/>
        <item x="24"/>
        <item x="25"/>
        <item x="26"/>
        <item x="50"/>
        <item x="28"/>
        <item x="27"/>
        <item x="29"/>
        <item x="30"/>
        <item x="31"/>
        <item x="51"/>
        <item x="33"/>
        <item x="32"/>
        <item x="34"/>
        <item x="35"/>
        <item x="36"/>
        <item x="39"/>
        <item x="37"/>
        <item x="52"/>
        <item x="38"/>
        <item x="40"/>
        <item x="41"/>
        <item x="53"/>
        <item x="43"/>
        <item x="42"/>
        <item x="54"/>
        <item x="44"/>
        <item x="45"/>
        <item x="55"/>
        <item x="7"/>
        <item t="default"/>
      </items>
    </pivotField>
    <pivotField showAll="0">
      <items count="58">
        <item x="0"/>
        <item x="4"/>
        <item x="2"/>
        <item x="5"/>
        <item x="3"/>
        <item x="1"/>
        <item x="9"/>
        <item x="7"/>
        <item x="8"/>
        <item x="12"/>
        <item x="10"/>
        <item x="13"/>
        <item x="14"/>
        <item x="15"/>
        <item x="16"/>
        <item x="17"/>
        <item x="18"/>
        <item x="19"/>
        <item x="23"/>
        <item x="24"/>
        <item x="29"/>
        <item x="28"/>
        <item x="26"/>
        <item x="11"/>
        <item x="27"/>
        <item x="20"/>
        <item x="22"/>
        <item x="51"/>
        <item x="25"/>
        <item x="36"/>
        <item x="33"/>
        <item x="34"/>
        <item x="35"/>
        <item x="50"/>
        <item x="21"/>
        <item x="38"/>
        <item x="39"/>
        <item x="37"/>
        <item x="41"/>
        <item x="42"/>
        <item x="40"/>
        <item x="53"/>
        <item x="52"/>
        <item x="43"/>
        <item x="44"/>
        <item x="45"/>
        <item x="54"/>
        <item x="47"/>
        <item x="46"/>
        <item x="30"/>
        <item x="31"/>
        <item x="32"/>
        <item x="55"/>
        <item x="49"/>
        <item x="48"/>
        <item x="56"/>
        <item x="6"/>
        <item t="default"/>
      </items>
    </pivotField>
    <pivotField showAll="0">
      <items count="44">
        <item x="0"/>
        <item x="1"/>
        <item x="5"/>
        <item x="3"/>
        <item x="4"/>
        <item x="8"/>
        <item x="6"/>
        <item x="10"/>
        <item x="7"/>
        <item x="11"/>
        <item x="12"/>
        <item x="13"/>
        <item x="9"/>
        <item x="25"/>
        <item x="15"/>
        <item x="14"/>
        <item x="19"/>
        <item x="29"/>
        <item x="28"/>
        <item x="27"/>
        <item x="23"/>
        <item x="18"/>
        <item x="16"/>
        <item x="24"/>
        <item x="22"/>
        <item x="17"/>
        <item x="20"/>
        <item x="21"/>
        <item x="30"/>
        <item x="26"/>
        <item x="32"/>
        <item x="38"/>
        <item x="33"/>
        <item x="35"/>
        <item x="36"/>
        <item x="34"/>
        <item x="31"/>
        <item x="37"/>
        <item x="40"/>
        <item x="42"/>
        <item x="39"/>
        <item x="41"/>
        <item x="2"/>
        <item t="default"/>
      </items>
    </pivotField>
    <pivotField showAll="0"/>
    <pivotField showAll="0"/>
    <pivotField showAll="0">
      <items count="5">
        <item x="0"/>
        <item x="1"/>
        <item x="3"/>
        <item x="2"/>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1"/>
        <item x="2"/>
        <item x="3"/>
        <item x="4"/>
        <item x="5"/>
        <item x="6"/>
        <item h="1" x="0"/>
        <item x="7"/>
        <item x="8"/>
        <item x="9"/>
        <item x="10"/>
        <item x="11"/>
        <item x="12"/>
        <item x="13"/>
        <item t="default"/>
      </items>
    </pivotField>
  </pivotFields>
  <rowFields count="1">
    <field x="6"/>
  </rowFields>
  <rowItems count="6">
    <i>
      <x v="2"/>
    </i>
    <i>
      <x v="5"/>
    </i>
    <i>
      <x/>
    </i>
    <i>
      <x v="1"/>
    </i>
    <i>
      <x v="3"/>
    </i>
    <i>
      <x v="4"/>
    </i>
  </rowItems>
  <colItems count="1">
    <i/>
  </colItems>
  <dataFields count="1">
    <dataField name="Sum of سعر البيع" fld="14" baseField="0" baseItem="0"/>
  </dataFields>
  <formats count="5">
    <format dxfId="39">
      <pivotArea type="all" dataOnly="0" outline="0" fieldPosition="0"/>
    </format>
    <format dxfId="38">
      <pivotArea outline="0" collapsedLevelsAreSubtotals="1" fieldPosition="0"/>
    </format>
    <format dxfId="37">
      <pivotArea field="21" type="button" dataOnly="0" labelOnly="1" outline="0"/>
    </format>
    <format dxfId="36">
      <pivotArea dataOnly="0" labelOnly="1" grandRow="1" outline="0" fieldPosition="0"/>
    </format>
    <format dxfId="35">
      <pivotArea outline="0" collapsedLevelsAreSubtotals="1" fieldPosition="0"/>
    </format>
  </formats>
  <chartFormats count="1">
    <chartFormat chart="2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6CCD803-C70F-4C7C-A79D-7A93B18696C9}" name="TOP-5 profitable and lowest  customers" cacheId="0" applyNumberFormats="0" applyBorderFormats="0" applyFontFormats="0" applyPatternFormats="0" applyAlignmentFormats="0" applyWidthHeightFormats="1" dataCaption="Values" updatedVersion="8" minRefreshableVersion="3" useAutoFormatting="1" colGrandTotals="0" itemPrintTitles="1" createdVersion="8" indent="0" multipleFieldFilters="0" chartFormat="13">
  <location ref="P9:Q20" firstHeaderRow="1" firstDataRow="1" firstDataCol="1"/>
  <pivotFields count="30">
    <pivotField showAll="0"/>
    <pivotField axis="axisRow" showAll="0" sortType="descending">
      <items count="73">
        <item h="1" x="13"/>
        <item h="1" x="43"/>
        <item h="1" x="63"/>
        <item h="1" x="38"/>
        <item h="1" x="45"/>
        <item h="1" x="44"/>
        <item x="7"/>
        <item x="6"/>
        <item h="1" x="34"/>
        <item h="1" x="32"/>
        <item h="1" x="55"/>
        <item h="1" x="10"/>
        <item h="1" x="39"/>
        <item h="1" x="26"/>
        <item h="1" x="19"/>
        <item h="1" x="42"/>
        <item x="16"/>
        <item h="1" x="29"/>
        <item h="1" x="53"/>
        <item h="1" x="25"/>
        <item h="1" x="47"/>
        <item x="8"/>
        <item h="1" x="69"/>
        <item h="1" x="61"/>
        <item h="1" x="15"/>
        <item h="1" x="20"/>
        <item h="1" x="50"/>
        <item h="1" x="58"/>
        <item h="1" x="0"/>
        <item h="1" x="28"/>
        <item h="1" x="36"/>
        <item h="1" x="62"/>
        <item h="1" x="54"/>
        <item h="1" x="52"/>
        <item h="1" x="4"/>
        <item x="33"/>
        <item h="1" x="23"/>
        <item h="1" x="3"/>
        <item h="1" x="2"/>
        <item x="5"/>
        <item h="1" x="14"/>
        <item h="1" x="51"/>
        <item h="1" x="27"/>
        <item h="1" x="41"/>
        <item h="1" x="30"/>
        <item h="1" x="18"/>
        <item x="21"/>
        <item h="1" x="9"/>
        <item h="1" x="64"/>
        <item h="1" x="46"/>
        <item h="1" x="37"/>
        <item h="1" x="12"/>
        <item h="1" x="31"/>
        <item h="1" x="11"/>
        <item x="66"/>
        <item h="1" x="48"/>
        <item h="1" x="70"/>
        <item h="1" x="67"/>
        <item h="1" x="1"/>
        <item h="1" x="57"/>
        <item h="1" x="35"/>
        <item x="49"/>
        <item h="1" x="24"/>
        <item h="1" x="60"/>
        <item h="1" x="68"/>
        <item h="1" x="71"/>
        <item h="1" x="22"/>
        <item x="65"/>
        <item h="1" x="56"/>
        <item h="1" x="59"/>
        <item h="1" x="40"/>
        <item h="1" x="17"/>
        <item t="default"/>
      </items>
      <autoSortScope>
        <pivotArea dataOnly="0" outline="0" fieldPosition="0">
          <references count="1">
            <reference field="4294967294" count="1" selected="0">
              <x v="0"/>
            </reference>
          </references>
        </pivotArea>
      </autoSortScope>
    </pivotField>
    <pivotField showAll="0"/>
    <pivotField showAll="0">
      <items count="11">
        <item x="8"/>
        <item x="1"/>
        <item x="3"/>
        <item x="0"/>
        <item x="7"/>
        <item x="5"/>
        <item x="6"/>
        <item x="4"/>
        <item m="1" x="9"/>
        <item x="2"/>
        <item t="default"/>
      </items>
    </pivotField>
    <pivotField showAll="0">
      <items count="3">
        <item x="0"/>
        <item x="1"/>
        <item t="default"/>
      </items>
    </pivotField>
    <pivotField showAll="0"/>
    <pivotField showAll="0">
      <items count="7">
        <item x="1"/>
        <item x="3"/>
        <item x="0"/>
        <item x="5"/>
        <item x="4"/>
        <item x="2"/>
        <item t="default"/>
      </items>
    </pivotField>
    <pivotField showAll="0"/>
    <pivotField showAll="0"/>
    <pivotField showAll="0"/>
    <pivotField showAll="0"/>
    <pivotField showAll="0"/>
    <pivotField showAll="0"/>
    <pivotField showAll="0"/>
    <pivotField dataField="1" showAll="0"/>
    <pivotField showAll="0"/>
    <pivotField showAll="0">
      <items count="57">
        <item x="0"/>
        <item x="1"/>
        <item x="4"/>
        <item x="3"/>
        <item x="5"/>
        <item x="6"/>
        <item x="2"/>
        <item x="8"/>
        <item x="11"/>
        <item x="10"/>
        <item x="9"/>
        <item x="12"/>
        <item x="13"/>
        <item x="14"/>
        <item x="16"/>
        <item x="15"/>
        <item x="17"/>
        <item x="18"/>
        <item x="19"/>
        <item x="20"/>
        <item x="21"/>
        <item x="22"/>
        <item x="23"/>
        <item x="46"/>
        <item x="48"/>
        <item x="47"/>
        <item x="49"/>
        <item x="24"/>
        <item x="25"/>
        <item x="26"/>
        <item x="50"/>
        <item x="28"/>
        <item x="27"/>
        <item x="29"/>
        <item x="30"/>
        <item x="31"/>
        <item x="51"/>
        <item x="33"/>
        <item x="32"/>
        <item x="34"/>
        <item x="35"/>
        <item x="36"/>
        <item x="39"/>
        <item x="37"/>
        <item x="52"/>
        <item x="38"/>
        <item x="40"/>
        <item x="41"/>
        <item x="53"/>
        <item x="43"/>
        <item x="42"/>
        <item x="54"/>
        <item x="44"/>
        <item x="45"/>
        <item x="55"/>
        <item x="7"/>
        <item t="default"/>
      </items>
    </pivotField>
    <pivotField showAll="0">
      <items count="58">
        <item x="0"/>
        <item x="4"/>
        <item x="2"/>
        <item x="5"/>
        <item x="3"/>
        <item x="1"/>
        <item x="9"/>
        <item x="7"/>
        <item x="8"/>
        <item x="12"/>
        <item x="10"/>
        <item x="13"/>
        <item x="14"/>
        <item x="15"/>
        <item x="16"/>
        <item x="17"/>
        <item x="18"/>
        <item x="19"/>
        <item x="23"/>
        <item x="24"/>
        <item x="29"/>
        <item x="28"/>
        <item x="26"/>
        <item x="11"/>
        <item x="27"/>
        <item x="20"/>
        <item x="22"/>
        <item x="51"/>
        <item x="25"/>
        <item x="36"/>
        <item x="33"/>
        <item x="34"/>
        <item x="35"/>
        <item x="50"/>
        <item x="21"/>
        <item x="38"/>
        <item x="39"/>
        <item x="37"/>
        <item x="41"/>
        <item x="42"/>
        <item x="40"/>
        <item x="53"/>
        <item x="52"/>
        <item x="43"/>
        <item x="44"/>
        <item x="45"/>
        <item x="54"/>
        <item x="47"/>
        <item x="46"/>
        <item x="30"/>
        <item x="31"/>
        <item x="32"/>
        <item x="55"/>
        <item x="49"/>
        <item x="48"/>
        <item x="56"/>
        <item x="6"/>
        <item t="default"/>
      </items>
    </pivotField>
    <pivotField showAll="0">
      <items count="44">
        <item x="0"/>
        <item x="1"/>
        <item x="5"/>
        <item x="3"/>
        <item x="4"/>
        <item x="8"/>
        <item x="6"/>
        <item x="10"/>
        <item x="7"/>
        <item x="11"/>
        <item x="12"/>
        <item x="13"/>
        <item x="9"/>
        <item x="25"/>
        <item x="15"/>
        <item x="14"/>
        <item x="19"/>
        <item x="29"/>
        <item x="28"/>
        <item x="27"/>
        <item x="23"/>
        <item x="18"/>
        <item x="16"/>
        <item x="24"/>
        <item x="22"/>
        <item x="17"/>
        <item x="20"/>
        <item x="21"/>
        <item x="30"/>
        <item x="26"/>
        <item x="32"/>
        <item x="38"/>
        <item x="33"/>
        <item x="35"/>
        <item x="36"/>
        <item x="34"/>
        <item x="31"/>
        <item x="37"/>
        <item x="40"/>
        <item x="42"/>
        <item x="39"/>
        <item x="41"/>
        <item x="2"/>
        <item t="default"/>
      </items>
    </pivotField>
    <pivotField showAll="0"/>
    <pivotField showAll="0"/>
    <pivotField showAll="0">
      <items count="5">
        <item x="0"/>
        <item h="1" x="1"/>
        <item h="1" x="3"/>
        <item h="1" x="2"/>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1"/>
        <item x="2"/>
        <item x="3"/>
        <item x="4"/>
        <item x="5"/>
        <item x="6"/>
        <item h="1" x="0"/>
        <item x="7"/>
        <item x="8"/>
        <item x="9"/>
        <item x="10"/>
        <item x="11"/>
        <item x="12"/>
        <item x="13"/>
        <item t="default"/>
      </items>
    </pivotField>
  </pivotFields>
  <rowFields count="1">
    <field x="1"/>
  </rowFields>
  <rowItems count="11">
    <i>
      <x v="39"/>
    </i>
    <i>
      <x v="21"/>
    </i>
    <i>
      <x v="35"/>
    </i>
    <i>
      <x v="7"/>
    </i>
    <i>
      <x v="16"/>
    </i>
    <i>
      <x v="6"/>
    </i>
    <i>
      <x v="46"/>
    </i>
    <i>
      <x v="54"/>
    </i>
    <i>
      <x v="67"/>
    </i>
    <i>
      <x v="61"/>
    </i>
    <i t="grand">
      <x/>
    </i>
  </rowItems>
  <colItems count="1">
    <i/>
  </colItems>
  <dataFields count="1">
    <dataField name="Sum of سعر البيع" fld="14" baseField="0" baseItem="0" numFmtId="169"/>
  </dataFields>
  <formats count="5">
    <format dxfId="44">
      <pivotArea type="all" dataOnly="0" outline="0" fieldPosition="0"/>
    </format>
    <format dxfId="43">
      <pivotArea outline="0" collapsedLevelsAreSubtotals="1" fieldPosition="0"/>
    </format>
    <format dxfId="42">
      <pivotArea field="21" type="button" dataOnly="0" labelOnly="1" outline="0"/>
    </format>
    <format dxfId="41">
      <pivotArea dataOnly="0" labelOnly="1" grandRow="1" outline="0" fieldPosition="0"/>
    </format>
    <format dxfId="40">
      <pivotArea outline="0" collapsedLevelsAreSubtotals="1" fieldPosition="0"/>
    </format>
  </formats>
  <conditionalFormats count="1">
    <conditionalFormat priority="1">
      <pivotAreas count="1">
        <pivotArea type="data" collapsedLevelsAreSubtotals="1" fieldPosition="0">
          <references count="2">
            <reference field="4294967294" count="1" selected="0">
              <x v="0"/>
            </reference>
            <reference field="1" count="10">
              <x v="6"/>
              <x v="7"/>
              <x v="16"/>
              <x v="21"/>
              <x v="35"/>
              <x v="39"/>
              <x v="46"/>
              <x v="54"/>
              <x v="61"/>
              <x v="67"/>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A086208-3D1B-49B1-AD46-7F4AF687579E}" name="Total Sales by Platform" cacheId="0" applyNumberFormats="0" applyBorderFormats="0" applyFontFormats="0" applyPatternFormats="0" applyAlignmentFormats="0" applyWidthHeightFormats="1" dataCaption="Values" updatedVersion="8" minRefreshableVersion="3" useAutoFormatting="1" colGrandTotals="0" itemPrintTitles="1" createdVersion="8" indent="0" multipleFieldFilters="0" chartFormat="29">
  <location ref="AF7:AG16" firstHeaderRow="1" firstDataRow="1" firstDataCol="1"/>
  <pivotFields count="30">
    <pivotField showAll="0"/>
    <pivotField showAll="0"/>
    <pivotField showAll="0"/>
    <pivotField showAll="0">
      <items count="11">
        <item x="8"/>
        <item x="1"/>
        <item x="3"/>
        <item x="0"/>
        <item x="7"/>
        <item x="5"/>
        <item x="6"/>
        <item x="4"/>
        <item m="1" x="9"/>
        <item x="2"/>
        <item t="default"/>
      </items>
    </pivotField>
    <pivotField showAll="0">
      <items count="3">
        <item x="0"/>
        <item x="1"/>
        <item t="default"/>
      </items>
    </pivotField>
    <pivotField axis="axisRow" showAll="0" sortType="ascending">
      <items count="9">
        <item x="5"/>
        <item x="4"/>
        <item x="3"/>
        <item x="1"/>
        <item x="2"/>
        <item x="7"/>
        <item x="6"/>
        <item x="0"/>
        <item t="default"/>
      </items>
      <autoSortScope>
        <pivotArea dataOnly="0" outline="0" fieldPosition="0">
          <references count="1">
            <reference field="4294967294" count="1" selected="0">
              <x v="0"/>
            </reference>
          </references>
        </pivotArea>
      </autoSortScope>
    </pivotField>
    <pivotField showAll="0">
      <items count="7">
        <item x="1"/>
        <item x="3"/>
        <item x="0"/>
        <item x="5"/>
        <item x="4"/>
        <item x="2"/>
        <item t="default"/>
      </items>
    </pivotField>
    <pivotField showAll="0"/>
    <pivotField showAll="0"/>
    <pivotField showAll="0"/>
    <pivotField showAll="0"/>
    <pivotField showAll="0"/>
    <pivotField showAll="0"/>
    <pivotField showAll="0"/>
    <pivotField dataField="1" showAll="0"/>
    <pivotField showAll="0"/>
    <pivotField showAll="0">
      <items count="57">
        <item x="0"/>
        <item x="1"/>
        <item x="4"/>
        <item x="3"/>
        <item x="5"/>
        <item x="6"/>
        <item x="2"/>
        <item x="8"/>
        <item x="11"/>
        <item x="10"/>
        <item x="9"/>
        <item x="12"/>
        <item x="13"/>
        <item x="14"/>
        <item x="16"/>
        <item x="15"/>
        <item x="17"/>
        <item x="18"/>
        <item x="19"/>
        <item x="20"/>
        <item x="21"/>
        <item x="22"/>
        <item x="23"/>
        <item x="46"/>
        <item x="48"/>
        <item x="47"/>
        <item x="49"/>
        <item x="24"/>
        <item x="25"/>
        <item x="26"/>
        <item x="50"/>
        <item x="28"/>
        <item x="27"/>
        <item x="29"/>
        <item x="30"/>
        <item x="31"/>
        <item x="51"/>
        <item x="33"/>
        <item x="32"/>
        <item x="34"/>
        <item x="35"/>
        <item x="36"/>
        <item x="39"/>
        <item x="37"/>
        <item x="52"/>
        <item x="38"/>
        <item x="40"/>
        <item x="41"/>
        <item x="53"/>
        <item x="43"/>
        <item x="42"/>
        <item x="54"/>
        <item x="44"/>
        <item x="45"/>
        <item x="55"/>
        <item x="7"/>
        <item t="default"/>
      </items>
    </pivotField>
    <pivotField showAll="0">
      <items count="58">
        <item x="0"/>
        <item x="4"/>
        <item x="2"/>
        <item x="5"/>
        <item x="3"/>
        <item x="1"/>
        <item x="9"/>
        <item x="7"/>
        <item x="8"/>
        <item x="12"/>
        <item x="10"/>
        <item x="13"/>
        <item x="14"/>
        <item x="15"/>
        <item x="16"/>
        <item x="17"/>
        <item x="18"/>
        <item x="19"/>
        <item x="23"/>
        <item x="24"/>
        <item x="29"/>
        <item x="28"/>
        <item x="26"/>
        <item x="11"/>
        <item x="27"/>
        <item x="20"/>
        <item x="22"/>
        <item x="51"/>
        <item x="25"/>
        <item x="36"/>
        <item x="33"/>
        <item x="34"/>
        <item x="35"/>
        <item x="50"/>
        <item x="21"/>
        <item x="38"/>
        <item x="39"/>
        <item x="37"/>
        <item x="41"/>
        <item x="42"/>
        <item x="40"/>
        <item x="53"/>
        <item x="52"/>
        <item x="43"/>
        <item x="44"/>
        <item x="45"/>
        <item x="54"/>
        <item x="47"/>
        <item x="46"/>
        <item x="30"/>
        <item x="31"/>
        <item x="32"/>
        <item x="55"/>
        <item x="49"/>
        <item x="48"/>
        <item x="56"/>
        <item x="6"/>
        <item t="default"/>
      </items>
    </pivotField>
    <pivotField showAll="0">
      <items count="44">
        <item x="0"/>
        <item x="1"/>
        <item x="5"/>
        <item x="3"/>
        <item x="4"/>
        <item x="8"/>
        <item x="6"/>
        <item x="10"/>
        <item x="7"/>
        <item x="11"/>
        <item x="12"/>
        <item x="13"/>
        <item x="9"/>
        <item x="25"/>
        <item x="15"/>
        <item x="14"/>
        <item x="19"/>
        <item x="29"/>
        <item x="28"/>
        <item x="27"/>
        <item x="23"/>
        <item x="18"/>
        <item x="16"/>
        <item x="24"/>
        <item x="22"/>
        <item x="17"/>
        <item x="20"/>
        <item x="21"/>
        <item x="30"/>
        <item x="26"/>
        <item x="32"/>
        <item x="38"/>
        <item x="33"/>
        <item x="35"/>
        <item x="36"/>
        <item x="34"/>
        <item x="31"/>
        <item x="37"/>
        <item x="40"/>
        <item x="42"/>
        <item x="39"/>
        <item x="41"/>
        <item x="2"/>
        <item t="default"/>
      </items>
    </pivotField>
    <pivotField showAll="0"/>
    <pivotField showAll="0"/>
    <pivotField showAll="0">
      <items count="5">
        <item x="0"/>
        <item x="1"/>
        <item x="3"/>
        <item x="2"/>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1"/>
        <item x="2"/>
        <item x="3"/>
        <item x="4"/>
        <item x="5"/>
        <item x="6"/>
        <item h="1" x="0"/>
        <item x="7"/>
        <item x="8"/>
        <item x="9"/>
        <item x="10"/>
        <item x="11"/>
        <item x="12"/>
        <item x="13"/>
        <item t="default"/>
      </items>
    </pivotField>
  </pivotFields>
  <rowFields count="1">
    <field x="5"/>
  </rowFields>
  <rowItems count="9">
    <i>
      <x v="5"/>
    </i>
    <i>
      <x v="6"/>
    </i>
    <i>
      <x v="4"/>
    </i>
    <i>
      <x/>
    </i>
    <i>
      <x v="1"/>
    </i>
    <i>
      <x v="2"/>
    </i>
    <i>
      <x v="3"/>
    </i>
    <i>
      <x v="7"/>
    </i>
    <i t="grand">
      <x/>
    </i>
  </rowItems>
  <colItems count="1">
    <i/>
  </colItems>
  <dataFields count="1">
    <dataField name="Sum of سعر البيع" fld="14" baseField="0" baseItem="0"/>
  </dataFields>
  <formats count="5">
    <format dxfId="49">
      <pivotArea type="all" dataOnly="0" outline="0" fieldPosition="0"/>
    </format>
    <format dxfId="48">
      <pivotArea outline="0" collapsedLevelsAreSubtotals="1" fieldPosition="0"/>
    </format>
    <format dxfId="47">
      <pivotArea field="21" type="button" dataOnly="0" labelOnly="1" outline="0"/>
    </format>
    <format dxfId="46">
      <pivotArea dataOnly="0" labelOnly="1" grandRow="1" outline="0" fieldPosition="0"/>
    </format>
    <format dxfId="45">
      <pivotArea outline="0" collapsedLevelsAreSubtotals="1" fieldPosition="0"/>
    </format>
  </formats>
  <chartFormats count="1">
    <chartFormat chart="2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E041E82-791E-41EF-9CE2-607C5186B6EA}" name="Delivery Analysis" cacheId="0" applyNumberFormats="0" applyBorderFormats="0" applyFontFormats="0" applyPatternFormats="0" applyAlignmentFormats="0" applyWidthHeightFormats="1" dataCaption="Values" updatedVersion="8" minRefreshableVersion="3" useAutoFormatting="1" colGrandTotals="0" itemPrintTitles="1" createdVersion="8" indent="0" multipleFieldFilters="0" chartFormat="19">
  <location ref="AA9:AB13" firstHeaderRow="1" firstDataRow="1" firstDataCol="1"/>
  <pivotFields count="30">
    <pivotField dataField="1" showAll="0"/>
    <pivotField showAll="0"/>
    <pivotField showAll="0"/>
    <pivotField showAll="0">
      <items count="11">
        <item x="8"/>
        <item x="1"/>
        <item x="3"/>
        <item x="0"/>
        <item x="7"/>
        <item x="5"/>
        <item x="6"/>
        <item x="4"/>
        <item m="1" x="9"/>
        <item x="2"/>
        <item t="default"/>
      </items>
    </pivotField>
    <pivotField showAll="0">
      <items count="3">
        <item x="0"/>
        <item x="1"/>
        <item t="default"/>
      </items>
    </pivotField>
    <pivotField showAll="0"/>
    <pivotField showAll="0">
      <items count="7">
        <item x="1"/>
        <item x="3"/>
        <item x="0"/>
        <item x="5"/>
        <item x="4"/>
        <item x="2"/>
        <item t="default"/>
      </items>
    </pivotField>
    <pivotField showAll="0"/>
    <pivotField showAll="0"/>
    <pivotField showAll="0"/>
    <pivotField showAll="0"/>
    <pivotField showAll="0"/>
    <pivotField showAll="0"/>
    <pivotField showAll="0"/>
    <pivotField showAll="0"/>
    <pivotField showAll="0"/>
    <pivotField showAll="0">
      <items count="57">
        <item x="0"/>
        <item x="1"/>
        <item x="4"/>
        <item x="3"/>
        <item x="5"/>
        <item x="6"/>
        <item x="2"/>
        <item x="8"/>
        <item x="11"/>
        <item x="10"/>
        <item x="9"/>
        <item x="12"/>
        <item x="13"/>
        <item x="14"/>
        <item x="16"/>
        <item x="15"/>
        <item x="17"/>
        <item x="18"/>
        <item x="19"/>
        <item x="20"/>
        <item x="21"/>
        <item x="22"/>
        <item x="23"/>
        <item x="46"/>
        <item x="48"/>
        <item x="47"/>
        <item x="49"/>
        <item x="24"/>
        <item x="25"/>
        <item x="26"/>
        <item x="50"/>
        <item x="28"/>
        <item x="27"/>
        <item x="29"/>
        <item x="30"/>
        <item x="31"/>
        <item x="51"/>
        <item x="33"/>
        <item x="32"/>
        <item x="34"/>
        <item x="35"/>
        <item x="36"/>
        <item x="39"/>
        <item x="37"/>
        <item x="52"/>
        <item x="38"/>
        <item x="40"/>
        <item x="41"/>
        <item x="53"/>
        <item x="43"/>
        <item x="42"/>
        <item x="54"/>
        <item x="44"/>
        <item x="45"/>
        <item x="55"/>
        <item x="7"/>
        <item t="default"/>
      </items>
    </pivotField>
    <pivotField showAll="0">
      <items count="58">
        <item x="0"/>
        <item x="4"/>
        <item x="2"/>
        <item x="5"/>
        <item x="3"/>
        <item x="1"/>
        <item x="9"/>
        <item x="7"/>
        <item x="8"/>
        <item x="12"/>
        <item x="10"/>
        <item x="13"/>
        <item x="14"/>
        <item x="15"/>
        <item x="16"/>
        <item x="17"/>
        <item x="18"/>
        <item x="19"/>
        <item x="23"/>
        <item x="24"/>
        <item x="29"/>
        <item x="28"/>
        <item x="26"/>
        <item x="11"/>
        <item x="27"/>
        <item x="20"/>
        <item x="22"/>
        <item x="51"/>
        <item x="25"/>
        <item x="36"/>
        <item x="33"/>
        <item x="34"/>
        <item x="35"/>
        <item x="50"/>
        <item x="21"/>
        <item x="38"/>
        <item x="39"/>
        <item x="37"/>
        <item x="41"/>
        <item x="42"/>
        <item x="40"/>
        <item x="53"/>
        <item x="52"/>
        <item x="43"/>
        <item x="44"/>
        <item x="45"/>
        <item x="54"/>
        <item x="47"/>
        <item x="46"/>
        <item x="30"/>
        <item x="31"/>
        <item x="32"/>
        <item x="55"/>
        <item x="49"/>
        <item x="48"/>
        <item x="56"/>
        <item x="6"/>
        <item t="default"/>
      </items>
    </pivotField>
    <pivotField showAll="0">
      <items count="44">
        <item x="0"/>
        <item x="1"/>
        <item x="5"/>
        <item x="3"/>
        <item x="4"/>
        <item x="8"/>
        <item x="6"/>
        <item x="10"/>
        <item x="7"/>
        <item x="11"/>
        <item x="12"/>
        <item x="13"/>
        <item x="9"/>
        <item x="25"/>
        <item x="15"/>
        <item x="14"/>
        <item x="19"/>
        <item x="29"/>
        <item x="28"/>
        <item x="27"/>
        <item x="23"/>
        <item x="18"/>
        <item x="16"/>
        <item x="24"/>
        <item x="22"/>
        <item x="17"/>
        <item x="20"/>
        <item x="21"/>
        <item x="30"/>
        <item x="26"/>
        <item x="32"/>
        <item x="38"/>
        <item x="33"/>
        <item x="35"/>
        <item x="36"/>
        <item x="34"/>
        <item x="31"/>
        <item x="37"/>
        <item x="40"/>
        <item x="42"/>
        <item x="39"/>
        <item x="41"/>
        <item x="2"/>
        <item t="default"/>
      </items>
    </pivotField>
    <pivotField showAll="0"/>
    <pivotField showAll="0"/>
    <pivotField showAll="0">
      <items count="5">
        <item x="0"/>
        <item x="1"/>
        <item x="3"/>
        <item x="2"/>
        <item t="default"/>
      </items>
    </pivotField>
    <pivotField axis="axisRow" showAll="0">
      <items count="4">
        <item x="1"/>
        <item x="2"/>
        <item x="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1"/>
        <item x="2"/>
        <item x="3"/>
        <item x="4"/>
        <item x="5"/>
        <item x="6"/>
        <item h="1" x="0"/>
        <item x="7"/>
        <item x="8"/>
        <item x="9"/>
        <item x="10"/>
        <item x="11"/>
        <item x="12"/>
        <item x="13"/>
        <item t="default"/>
      </items>
    </pivotField>
  </pivotFields>
  <rowFields count="1">
    <field x="22"/>
  </rowFields>
  <rowItems count="4">
    <i>
      <x/>
    </i>
    <i>
      <x v="1"/>
    </i>
    <i>
      <x v="2"/>
    </i>
    <i t="grand">
      <x/>
    </i>
  </rowItems>
  <colItems count="1">
    <i/>
  </colItems>
  <dataFields count="1">
    <dataField name="Count of ID" fld="0" subtotal="count" showDataAs="percentOfTotal" baseField="0" baseItem="0" numFmtId="10"/>
  </dataFields>
  <formats count="6">
    <format dxfId="55">
      <pivotArea type="all" dataOnly="0" outline="0" fieldPosition="0"/>
    </format>
    <format dxfId="54">
      <pivotArea outline="0" collapsedLevelsAreSubtotals="1" fieldPosition="0"/>
    </format>
    <format dxfId="53">
      <pivotArea field="21" type="button" dataOnly="0" labelOnly="1" outline="0"/>
    </format>
    <format dxfId="52">
      <pivotArea dataOnly="0" labelOnly="1" grandRow="1" outline="0" fieldPosition="0"/>
    </format>
    <format dxfId="51">
      <pivotArea outline="0" collapsedLevelsAreSubtotals="1" fieldPosition="0"/>
    </format>
    <format dxfId="5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0AFE181-1000-4295-A5D4-FCA9B6981510}"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F11:H15" firstHeaderRow="0" firstDataRow="1" firstDataCol="1"/>
  <pivotFields count="3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items count="57">
        <item x="0"/>
        <item x="1"/>
        <item x="4"/>
        <item x="3"/>
        <item x="5"/>
        <item x="6"/>
        <item x="2"/>
        <item x="8"/>
        <item x="11"/>
        <item x="10"/>
        <item x="9"/>
        <item x="12"/>
        <item x="13"/>
        <item x="14"/>
        <item x="16"/>
        <item x="15"/>
        <item x="17"/>
        <item x="18"/>
        <item x="19"/>
        <item x="20"/>
        <item x="21"/>
        <item x="22"/>
        <item x="23"/>
        <item x="46"/>
        <item x="48"/>
        <item x="47"/>
        <item x="49"/>
        <item x="24"/>
        <item x="25"/>
        <item x="26"/>
        <item x="50"/>
        <item x="28"/>
        <item x="27"/>
        <item x="29"/>
        <item x="30"/>
        <item x="31"/>
        <item x="51"/>
        <item x="33"/>
        <item x="32"/>
        <item x="34"/>
        <item x="35"/>
        <item x="36"/>
        <item x="39"/>
        <item x="37"/>
        <item x="52"/>
        <item x="38"/>
        <item x="40"/>
        <item x="41"/>
        <item x="53"/>
        <item x="43"/>
        <item x="42"/>
        <item x="54"/>
        <item x="44"/>
        <item x="45"/>
        <item x="55"/>
        <item x="7"/>
        <item t="default"/>
      </items>
    </pivotField>
    <pivotField showAll="0">
      <items count="58">
        <item x="0"/>
        <item x="4"/>
        <item x="2"/>
        <item x="5"/>
        <item x="3"/>
        <item x="1"/>
        <item x="9"/>
        <item x="7"/>
        <item x="8"/>
        <item x="12"/>
        <item x="10"/>
        <item x="13"/>
        <item x="14"/>
        <item x="15"/>
        <item x="16"/>
        <item x="17"/>
        <item x="18"/>
        <item x="19"/>
        <item x="23"/>
        <item x="24"/>
        <item x="29"/>
        <item x="28"/>
        <item x="26"/>
        <item x="11"/>
        <item x="27"/>
        <item x="20"/>
        <item x="22"/>
        <item x="51"/>
        <item x="25"/>
        <item x="36"/>
        <item x="33"/>
        <item x="34"/>
        <item x="35"/>
        <item x="50"/>
        <item x="21"/>
        <item x="38"/>
        <item x="39"/>
        <item x="37"/>
        <item x="41"/>
        <item x="42"/>
        <item x="40"/>
        <item x="53"/>
        <item x="52"/>
        <item x="43"/>
        <item x="44"/>
        <item x="45"/>
        <item x="54"/>
        <item x="47"/>
        <item x="46"/>
        <item x="30"/>
        <item x="31"/>
        <item x="32"/>
        <item x="55"/>
        <item x="49"/>
        <item x="48"/>
        <item x="56"/>
        <item x="6"/>
        <item t="default"/>
      </items>
    </pivotField>
    <pivotField showAll="0">
      <items count="44">
        <item x="0"/>
        <item x="1"/>
        <item x="5"/>
        <item x="3"/>
        <item x="4"/>
        <item x="8"/>
        <item x="6"/>
        <item x="10"/>
        <item x="7"/>
        <item x="11"/>
        <item x="12"/>
        <item x="13"/>
        <item x="9"/>
        <item x="25"/>
        <item x="15"/>
        <item x="14"/>
        <item x="19"/>
        <item x="29"/>
        <item x="28"/>
        <item x="27"/>
        <item x="23"/>
        <item x="18"/>
        <item x="16"/>
        <item x="24"/>
        <item x="22"/>
        <item x="17"/>
        <item x="20"/>
        <item x="21"/>
        <item x="30"/>
        <item x="26"/>
        <item x="32"/>
        <item x="38"/>
        <item x="33"/>
        <item x="35"/>
        <item x="36"/>
        <item x="34"/>
        <item x="31"/>
        <item x="37"/>
        <item x="40"/>
        <item x="42"/>
        <item x="39"/>
        <item x="41"/>
        <item x="2"/>
        <item t="default"/>
      </items>
    </pivotField>
    <pivotField showAll="0"/>
    <pivotField showAll="0"/>
    <pivotField showAll="0"/>
    <pivotField axis="axisRow" dataField="1" showAll="0">
      <items count="4">
        <item x="1"/>
        <item x="2"/>
        <item x="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2"/>
  </rowFields>
  <rowItems count="4">
    <i>
      <x/>
    </i>
    <i>
      <x v="1"/>
    </i>
    <i>
      <x v="2"/>
    </i>
    <i t="grand">
      <x/>
    </i>
  </rowItems>
  <colFields count="1">
    <field x="-2"/>
  </colFields>
  <colItems count="2">
    <i>
      <x/>
    </i>
    <i i="1">
      <x v="1"/>
    </i>
  </colItems>
  <dataFields count="2">
    <dataField name="Total Sales" fld="14" baseField="0" baseItem="2" numFmtId="169"/>
    <dataField name="Count of Delivery Performance" fld="22" subtotal="count" showDataAs="percentOfTotal" baseField="0" baseItem="0" numFmtId="10"/>
  </dataFields>
  <formats count="8">
    <format dxfId="63">
      <pivotArea outline="0" collapsedLevelsAreSubtotals="1" fieldPosition="0">
        <references count="1">
          <reference field="4294967294" count="1" selected="0">
            <x v="0"/>
          </reference>
        </references>
      </pivotArea>
    </format>
    <format dxfId="62">
      <pivotArea outline="0" fieldPosition="0">
        <references count="1">
          <reference field="4294967294" count="1">
            <x v="1"/>
          </reference>
        </references>
      </pivotArea>
    </format>
    <format dxfId="61">
      <pivotArea type="all" dataOnly="0" outline="0" fieldPosition="0"/>
    </format>
    <format dxfId="60">
      <pivotArea outline="0" collapsedLevelsAreSubtotals="1" fieldPosition="0"/>
    </format>
    <format dxfId="59">
      <pivotArea field="22" type="button" dataOnly="0" labelOnly="1" outline="0" axis="axisRow" fieldPosition="0"/>
    </format>
    <format dxfId="58">
      <pivotArea dataOnly="0" labelOnly="1" fieldPosition="0">
        <references count="1">
          <reference field="22" count="0"/>
        </references>
      </pivotArea>
    </format>
    <format dxfId="57">
      <pivotArea dataOnly="0" labelOnly="1" grandRow="1" outline="0" fieldPosition="0"/>
    </format>
    <format dxfId="56">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104A217F-5213-42D7-9A4C-6B1631488D4F}" autoFormatId="16" applyNumberFormats="0" applyBorderFormats="0" applyFontFormats="0" applyPatternFormats="0" applyAlignmentFormats="0" applyWidthHeightFormats="0">
  <queryTableRefresh nextId="38">
    <queryTableFields count="23">
      <queryTableField id="33" name="ID" tableColumnId="9"/>
      <queryTableField id="4" name="أسم العميل" tableColumnId="4"/>
      <queryTableField id="5" name="العنوان" tableColumnId="5"/>
      <queryTableField id="31" name="المحافظة" tableColumnId="8"/>
      <queryTableField id="29" name="نوع العميل" tableColumnId="6"/>
      <queryTableField id="7" name="منصة البيع" tableColumnId="7"/>
      <queryTableField id="23" name="النوع" tableColumnId="23"/>
      <queryTableField id="34" name="المواصفات" tableColumnId="12"/>
      <queryTableField id="10" name="الاسم" tableColumnId="10"/>
      <queryTableField id="11" name="المقاس" tableColumnId="11"/>
      <queryTableField id="24" name="اللون" tableColumnId="24"/>
      <queryTableField id="13" name="لون القماش" tableColumnId="13"/>
      <queryTableField id="14" name="المنتج" tableColumnId="14"/>
      <queryTableField id="25" name="الكمية" tableColumnId="25"/>
      <queryTableField id="15" name="سعر البيع" tableColumnId="15"/>
      <queryTableField id="16" name="طريقه الدفع" tableColumnId="16"/>
      <queryTableField id="17" name="ميعاد الطلب" tableColumnId="17"/>
      <queryTableField id="18" name="ميعاد التسليم" tableColumnId="18"/>
      <queryTableField id="19" name="تاريخ التسليم" tableColumnId="19"/>
      <queryTableField id="20" name="Subtraction" tableColumnId="20"/>
      <queryTableField id="21" name="المسئول عن التسليم" tableColumnId="21"/>
      <queryTableField id="22" name="الحالة" tableColumnId="22"/>
      <queryTableField id="37" name="Delivery Performance" tableColumnId="2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1" xr16:uid="{78BA3860-CFD3-425F-AF4D-DAE3BFCADFD5}" autoFormatId="16" applyNumberFormats="0" applyBorderFormats="0" applyFontFormats="0" applyPatternFormats="0" applyAlignmentFormats="0" applyWidthHeightFormats="0">
  <queryTableRefresh nextId="22">
    <queryTableFields count="21">
      <queryTableField id="1" name="م" tableColumnId="1"/>
      <queryTableField id="2" name="رقم العملية" tableColumnId="2"/>
      <queryTableField id="3" name="رقم الطلب" tableColumnId="3"/>
      <queryTableField id="4" name="أسم العميل" tableColumnId="4"/>
      <queryTableField id="5" name="العنوان" tableColumnId="5"/>
      <queryTableField id="6" name="رقم الموبيل" tableColumnId="6"/>
      <queryTableField id="7" name="منصة البيع" tableColumnId="7"/>
      <queryTableField id="8" name="Column1" tableColumnId="8"/>
      <queryTableField id="9" name="Column2" tableColumnId="9"/>
      <queryTableField id="10" name="الاسم" tableColumnId="10"/>
      <queryTableField id="11" name="المقاس" tableColumnId="11"/>
      <queryTableField id="12" name="اللون المعدن" tableColumnId="12"/>
      <queryTableField id="13" name="لون القماش" tableColumnId="13"/>
      <queryTableField id="14" name="المنتج" tableColumnId="14"/>
      <queryTableField id="15" name="سعر البيع" tableColumnId="15"/>
      <queryTableField id="16" name="طريقه الدفع" tableColumnId="16"/>
      <queryTableField id="17" name="ميعاد الطلب" tableColumnId="17"/>
      <queryTableField id="18" name="ميعاد التسليم" tableColumnId="18"/>
      <queryTableField id="19" name="تاريخ التسليم" tableColumnId="19"/>
      <queryTableField id="20" name="المسئول عن التسليم" tableColumnId="20"/>
      <queryTableField id="21" name="الحالة" tableColumnId="21"/>
    </queryTableFields>
  </queryTableRefresh>
  <extLst>
    <ext xmlns:x15="http://schemas.microsoft.com/office/spreadsheetml/2010/11/main" uri="{883FBD77-0823-4a55-B5E3-86C4891E6966}">
      <x15:queryTable sourceDataName="Query - Table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المحافظة" xr10:uid="{97D636D7-BB19-4686-B2D8-905F55B03919}" sourceName="المحافظة">
  <pivotTables>
    <pivotTable tabId="12" name="Total sales &amp; orders by area"/>
    <pivotTable tabId="12" name="Cards"/>
    <pivotTable tabId="12" name="Delivery Analysis"/>
    <pivotTable tabId="12" name="Monthly Trend of On-Time Delivered Orders"/>
    <pivotTable tabId="12" name="Order Delivery Status"/>
    <pivotTable tabId="12" name="Top 5 Sales by color"/>
    <pivotTable tabId="12" name="TOP-5 profitable and lowest  customers"/>
    <pivotTable tabId="12" name="Total Sales by Platform"/>
    <pivotTable tabId="12" name="Total sales by Prouct"/>
    <pivotTable tabId="12" name="T_Cutomers"/>
  </pivotTables>
  <data>
    <tabular pivotCacheId="1441966489">
      <items count="10">
        <i x="8" s="1"/>
        <i x="1" s="1"/>
        <i x="3" s="1"/>
        <i x="0" s="1"/>
        <i x="7" s="1"/>
        <i x="5" s="1"/>
        <i x="6" s="1"/>
        <i x="4" s="1"/>
        <i x="2" s="1"/>
        <i x="9"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نوع_العميل" xr10:uid="{E15E4A05-DD38-48AE-963D-FE615E5DBFCB}" sourceName="نوع العميل">
  <pivotTables>
    <pivotTable tabId="12" name="Total sales &amp; orders by area"/>
    <pivotTable tabId="12" name="Cards"/>
    <pivotTable tabId="12" name="Delivery Analysis"/>
    <pivotTable tabId="12" name="Monthly Trend of On-Time Delivered Orders"/>
    <pivotTable tabId="12" name="Order Delivery Status"/>
    <pivotTable tabId="12" name="Top 5 Sales by color"/>
    <pivotTable tabId="12" name="TOP-5 profitable and lowest  customers"/>
    <pivotTable tabId="12" name="Total Sales by Platform"/>
    <pivotTable tabId="12" name="Total sales by Prouct"/>
    <pivotTable tabId="12" name="T_Cutomers"/>
  </pivotTables>
  <data>
    <tabular pivotCacheId="1441966489">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النوع" xr10:uid="{EBB63870-00E7-4670-AAA9-B2ABB854C83F}" sourceName="النوع">
  <pivotTables>
    <pivotTable tabId="12" name="Total sales &amp; orders by area"/>
    <pivotTable tabId="12" name="Cards"/>
    <pivotTable tabId="12" name="Delivery Analysis"/>
    <pivotTable tabId="12" name="Monthly Trend of On-Time Delivered Orders"/>
    <pivotTable tabId="12" name="Order Delivery Status"/>
    <pivotTable tabId="12" name="Top 5 Sales by color"/>
    <pivotTable tabId="12" name="TOP-5 profitable and lowest  customers"/>
    <pivotTable tabId="12" name="Total Sales by Platform"/>
    <pivotTable tabId="12" name="Total sales by Prouct"/>
    <pivotTable tabId="12" name="T_Cutomers"/>
  </pivotTables>
  <data>
    <tabular pivotCacheId="1441966489">
      <items count="6">
        <i x="1" s="1"/>
        <i x="3" s="1"/>
        <i x="0" s="1"/>
        <i x="5" s="1"/>
        <i x="4"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المحافظة" xr10:uid="{E27890A8-0801-4A4D-BE12-6B1C564152DE}" cache="Slicer_المحافظة" caption="المحافظة" style="Slicer Style 3" rowHeight="234950"/>
  <slicer name="نوع العميل" xr10:uid="{67C0B5EB-4E55-41CB-BB0C-1A0FC1B6785F}" cache="Slicer_نوع_العميل" caption="نوع العميل" style="Slicer Style 3" rowHeight="234950"/>
  <slicer name="النوع" xr10:uid="{ED42A24B-34A1-458B-B932-3DA61D06146C}" cache="Slicer_النوع" caption="النوع" style="Slicer Style 3" rowHeight="2349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23CA9A0-53AD-4421-9EDE-B64325AFF19F}" name="Table1" displayName="Table1" ref="A1:U127" totalsRowShown="0" headerRowDxfId="107" dataDxfId="105" headerRowBorderDxfId="106" tableBorderDxfId="104">
  <autoFilter ref="A1:U127" xr:uid="{A23CA9A0-53AD-4421-9EDE-B64325AFF19F}"/>
  <tableColumns count="21">
    <tableColumn id="1" xr3:uid="{BC1AD6A5-3C70-4E1A-BF58-9AA0AEBCAC44}" name="م" dataDxfId="103"/>
    <tableColumn id="2" xr3:uid="{B9945E25-77F4-410C-A2D5-091CBB5BEDF7}" name="رقم العملية"/>
    <tableColumn id="3" xr3:uid="{48230F86-2A52-4230-BFAC-ADFF57ECD387}" name="رقم الطلب" dataDxfId="102"/>
    <tableColumn id="4" xr3:uid="{69CF5122-919C-461E-B4D3-1085CE5E82CF}" name="أسم العميل" dataDxfId="101"/>
    <tableColumn id="5" xr3:uid="{64AB93C7-1286-4AE3-B6C3-328AA3D98764}" name="العنوان" dataDxfId="100"/>
    <tableColumn id="6" xr3:uid="{FBBE58A9-0FA7-4F04-A338-DE36CF8D54E0}" name="رقم الموبيل" dataDxfId="99"/>
    <tableColumn id="7" xr3:uid="{F78CCBBB-D744-4F29-B78A-FF5436C6274A}" name="منصة البيع " dataDxfId="98"/>
    <tableColumn id="8" xr3:uid="{40AED6A8-F72A-4630-8BF4-D5657824EB2B}" name="Column1" dataDxfId="97"/>
    <tableColumn id="9" xr3:uid="{A086A905-4F09-4D03-BD5D-BCE95CD2F062}" name="Column2" dataDxfId="96"/>
    <tableColumn id="10" xr3:uid="{B01BC43F-C82A-4C34-90ED-53753C4F6390}" name="الاسم" dataDxfId="95"/>
    <tableColumn id="11" xr3:uid="{9D5357AC-0F97-4C63-9F33-BA771BD37CCB}" name="المقاس" dataDxfId="94"/>
    <tableColumn id="12" xr3:uid="{0F2788E0-2BC4-4A68-B779-EEC5345ADC73}" name="اللون المعدن" dataDxfId="93"/>
    <tableColumn id="13" xr3:uid="{9DCA612E-5E36-4C01-9A63-8363F7A584CE}" name="لون القماش" dataDxfId="92"/>
    <tableColumn id="14" xr3:uid="{A2D9C480-6632-4C8B-BF57-5EA73E538FD2}" name="المنتج" dataDxfId="91"/>
    <tableColumn id="15" xr3:uid="{9FFDFB2D-ABB3-4273-AAC0-85135F942B91}" name="سعر البيع " dataDxfId="90"/>
    <tableColumn id="16" xr3:uid="{11A07B72-78D2-4750-8419-C4914CE5151A}" name="طريقه الدفع " dataDxfId="89"/>
    <tableColumn id="17" xr3:uid="{5F0FBBE3-E9B9-4351-AD59-728BC7B089DA}" name="ميعاد الطلب" dataDxfId="88"/>
    <tableColumn id="18" xr3:uid="{60BAAD82-08D6-4254-961F-776C348583F6}" name="ميعاد التسليم" dataDxfId="87"/>
    <tableColumn id="19" xr3:uid="{47271F7F-3376-4669-9459-7A083CDB30BC}" name="تاريخ التسليم" dataDxfId="86"/>
    <tableColumn id="20" xr3:uid="{D27BC8AA-12B6-4B6A-BF8B-91666AE56A88}" name="المسئول عن التسليم" dataDxfId="85"/>
    <tableColumn id="21" xr3:uid="{7C029E54-ECF2-4E25-91B7-CE05C541C614}" name="الحالة" dataDxfId="8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130B96C-BD7A-49DD-818C-6118EB45DA86}" name="Main_data" displayName="Main_data" ref="A1:W126" tableType="queryTable" totalsRowShown="0">
  <autoFilter ref="A1:W126" xr:uid="{9130B96C-BD7A-49DD-818C-6118EB45DA86}"/>
  <tableColumns count="23">
    <tableColumn id="9" xr3:uid="{F2462519-DEDA-46F2-B5A8-FC7F15CF9922}" uniqueName="9" name="ID" queryTableFieldId="33"/>
    <tableColumn id="4" xr3:uid="{96E73E39-5A73-41E5-A25C-5F0F7819E44C}" uniqueName="4" name="أسم العميل" queryTableFieldId="4" dataDxfId="83"/>
    <tableColumn id="5" xr3:uid="{13E8B5A5-3C94-4EF7-BD6E-0E9EEA398349}" uniqueName="5" name="العنوان" queryTableFieldId="5" dataDxfId="82"/>
    <tableColumn id="8" xr3:uid="{C22F39C4-F285-4178-8168-7156537F95E7}" uniqueName="8" name="المحافظة" queryTableFieldId="31" dataDxfId="81"/>
    <tableColumn id="6" xr3:uid="{56714DFF-4B1C-41D7-9AE2-6A447AD03EEC}" uniqueName="6" name="نوع العميل" queryTableFieldId="29"/>
    <tableColumn id="7" xr3:uid="{A3ACE091-9892-4EEE-9894-584BCCC2099F}" uniqueName="7" name="منصة البيع" queryTableFieldId="7" dataDxfId="80"/>
    <tableColumn id="23" xr3:uid="{5965963A-9FD2-4731-A226-53D965AF9165}" uniqueName="23" name="النوع" queryTableFieldId="23" dataDxfId="79"/>
    <tableColumn id="12" xr3:uid="{A5850EA0-CE8B-49A0-8120-6685748E3318}" uniqueName="12" name="المواصفات" queryTableFieldId="34" dataDxfId="78"/>
    <tableColumn id="10" xr3:uid="{CA177245-AAEA-4B32-ACCA-9AEA3CFE6053}" uniqueName="10" name="الاسم" queryTableFieldId="10" dataDxfId="77"/>
    <tableColumn id="11" xr3:uid="{28A2A7DC-1D67-4830-A3E5-27C725B89033}" uniqueName="11" name="المقاس" queryTableFieldId="11" dataDxfId="76"/>
    <tableColumn id="24" xr3:uid="{2CC645C1-0084-40D8-BAD7-0E945AB08C3B}" uniqueName="24" name="اللون" queryTableFieldId="24"/>
    <tableColumn id="13" xr3:uid="{3F6A6523-5044-47C5-8EC8-9AFF485447A8}" uniqueName="13" name="لون القماش" queryTableFieldId="13" dataDxfId="75"/>
    <tableColumn id="14" xr3:uid="{D5758319-BA3C-4C1D-93FD-194A9C07C95F}" uniqueName="14" name="المنتج" queryTableFieldId="14" dataDxfId="74"/>
    <tableColumn id="25" xr3:uid="{EB5DF311-F2B0-417A-8277-76BA67C9A845}" uniqueName="25" name="الكمية" queryTableFieldId="25"/>
    <tableColumn id="15" xr3:uid="{8BF8509A-DA3D-4ED2-B06F-9C39387D7E3F}" uniqueName="15" name="سعر البيع" queryTableFieldId="15" dataDxfId="73"/>
    <tableColumn id="16" xr3:uid="{F5733852-B2DF-4DB6-8BBC-BD769164B57A}" uniqueName="16" name="طريقه الدفع" queryTableFieldId="16" dataDxfId="72"/>
    <tableColumn id="17" xr3:uid="{6D05D076-9CAE-4051-85B0-8861389D26D4}" uniqueName="17" name="ميعاد الطلب" queryTableFieldId="17" dataDxfId="71"/>
    <tableColumn id="18" xr3:uid="{990DA461-E4CB-4E45-AE2B-0573F47F5FD4}" uniqueName="18" name="ميعاد التسليم" queryTableFieldId="18" dataDxfId="70"/>
    <tableColumn id="19" xr3:uid="{8DA6B458-4586-444A-B407-BBD18135ABDC}" uniqueName="19" name="تاريخ التسليم" queryTableFieldId="19" dataDxfId="69"/>
    <tableColumn id="20" xr3:uid="{4C7EFB53-DB9E-45C3-AD64-E8C7AAD5CD70}" uniqueName="20" name="Subtraction" queryTableFieldId="20"/>
    <tableColumn id="21" xr3:uid="{8EDC89E5-C109-48B3-BE5A-2E7D5D47BB2D}" uniqueName="21" name="المسئول عن التسليم" queryTableFieldId="21" dataDxfId="68"/>
    <tableColumn id="22" xr3:uid="{B5B2F160-34A1-4DEB-9742-7B4903DC79A3}" uniqueName="22" name="الحالة" queryTableFieldId="22" dataDxfId="67"/>
    <tableColumn id="26" xr3:uid="{772BB0E6-7AAE-495C-BCF7-EBA93967A530}" uniqueName="26" name="Delivery Performance" queryTableFieldId="37" dataDxfId="6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ECBFF4A-1BA9-4FC8-ABD0-9DA811B4EA64}" name="Table1_33" displayName="Table1_33" ref="A1:B46" totalsRowShown="0">
  <autoFilter ref="A1:B46" xr:uid="{0ECBFF4A-1BA9-4FC8-ABD0-9DA811B4EA64}"/>
  <tableColumns count="2">
    <tableColumn id="1" xr3:uid="{5D3848B8-2500-45EE-8896-5380AB468B2F}" name="العنوان" dataDxfId="65"/>
    <tableColumn id="2" xr3:uid="{85AE4C7C-EFAE-4448-B718-73A65082F179}" name="المحافظة" dataDxfId="6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272AC99-4E4A-4C9D-9430-D8F7A057BFFD}" name="Table1_2" displayName="Table1_2" ref="A1:U127" tableType="queryTable" totalsRowShown="0">
  <autoFilter ref="A1:U127" xr:uid="{5272AC99-4E4A-4C9D-9430-D8F7A057BFFD}"/>
  <tableColumns count="21">
    <tableColumn id="1" xr3:uid="{18F2E193-80CA-4CB0-A2CA-A0D2B97A283E}" uniqueName="1" name="م" queryTableFieldId="1"/>
    <tableColumn id="2" xr3:uid="{E9D6B47A-7B24-4B8D-98EC-D512314FAD63}" uniqueName="2" name="رقم العملية" queryTableFieldId="2"/>
    <tableColumn id="3" xr3:uid="{D8E5BB49-EA1B-470E-AABE-2AD0EFC846C1}" uniqueName="3" name="رقم الطلب" queryTableFieldId="3"/>
    <tableColumn id="4" xr3:uid="{D3D885E9-1A1E-4E70-B346-327C7AEB966D}" uniqueName="4" name="أسم العميل" queryTableFieldId="4"/>
    <tableColumn id="5" xr3:uid="{3806DE55-5EF1-4584-B3EA-B9A25C81C365}" uniqueName="5" name="العنوان" queryTableFieldId="5"/>
    <tableColumn id="6" xr3:uid="{3FADC66C-2181-435A-8523-AEF966DC9656}" uniqueName="6" name="رقم الموبيل" queryTableFieldId="6"/>
    <tableColumn id="7" xr3:uid="{E51CFA6C-BD83-455F-A4FE-9B87AEF850BE}" uniqueName="7" name="منصة البيع" queryTableFieldId="7"/>
    <tableColumn id="8" xr3:uid="{B548E5AD-6AD3-47DB-8361-70390F1F47C3}" uniqueName="8" name="Column1" queryTableFieldId="8"/>
    <tableColumn id="9" xr3:uid="{717A5EAD-D896-4B73-8716-3B86F3386BC7}" uniqueName="9" name="Column2" queryTableFieldId="9"/>
    <tableColumn id="10" xr3:uid="{17334195-F135-4142-9CAB-7BA7659C9D41}" uniqueName="10" name="الاسم" queryTableFieldId="10"/>
    <tableColumn id="11" xr3:uid="{68B5B524-FEE5-4EB8-A815-E0EE593C1911}" uniqueName="11" name="المقاس" queryTableFieldId="11"/>
    <tableColumn id="12" xr3:uid="{9476B34E-2CB4-4CD0-A1E9-11DE81A181F9}" uniqueName="12" name="اللون المعدن" queryTableFieldId="12"/>
    <tableColumn id="13" xr3:uid="{CBD2C136-2D16-4547-B26B-67579D5E87DF}" uniqueName="13" name="لون القماش" queryTableFieldId="13"/>
    <tableColumn id="14" xr3:uid="{4A59BEC7-FD44-4301-A787-8F12529BE279}" uniqueName="14" name="المنتج" queryTableFieldId="14"/>
    <tableColumn id="15" xr3:uid="{8E999BCC-729B-412F-B18F-77992CF34604}" uniqueName="15" name="سعر البيع" queryTableFieldId="15"/>
    <tableColumn id="16" xr3:uid="{C5E0747E-75C5-4CF8-B6A2-992D62842C24}" uniqueName="16" name="طريقه الدفع" queryTableFieldId="16"/>
    <tableColumn id="17" xr3:uid="{8765F4C0-DF39-462D-9823-DE80C6A6BBB4}" uniqueName="17" name="ميعاد الطلب" queryTableFieldId="17" dataDxfId="1"/>
    <tableColumn id="18" xr3:uid="{794C10B7-354F-447F-8AFC-1DA04691C25E}" uniqueName="18" name="ميعاد التسليم" queryTableFieldId="18" dataDxfId="0"/>
    <tableColumn id="19" xr3:uid="{3A73A4AF-D076-4AC2-A56F-FB5F166CEA5A}" uniqueName="19" name="تاريخ التسليم" queryTableFieldId="19"/>
    <tableColumn id="20" xr3:uid="{D56111C9-76EE-4F0A-9380-3536D5F26658}" uniqueName="20" name="المسئول عن التسليم" queryTableFieldId="20"/>
    <tableColumn id="21" xr3:uid="{D55B4842-C240-47D2-91C5-B5461D5FC7AC}" uniqueName="21" name="الحالة" queryTableFieldId="2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microsoft.com/office/2007/relationships/slicer" Target="../slicers/slicer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92D050"/>
  </sheetPr>
  <dimension ref="A1:U1040"/>
  <sheetViews>
    <sheetView rightToLeft="1" zoomScale="70" zoomScaleNormal="70" workbookViewId="0">
      <selection sqref="A1:XFD1"/>
    </sheetView>
  </sheetViews>
  <sheetFormatPr defaultColWidth="8.88671875" defaultRowHeight="14.4" x14ac:dyDescent="0.3"/>
  <cols>
    <col min="1" max="1" width="5" style="1" customWidth="1"/>
    <col min="2" max="2" width="21.5546875" style="1" customWidth="1"/>
    <col min="3" max="3" width="22" style="1" customWidth="1"/>
    <col min="4" max="4" width="12.33203125" style="1" customWidth="1"/>
    <col min="5" max="5" width="27" style="1" customWidth="1"/>
    <col min="6" max="6" width="23.109375" style="1" customWidth="1"/>
    <col min="7" max="7" width="11.77734375" style="1" customWidth="1"/>
    <col min="8" max="8" width="20.6640625" style="1" customWidth="1"/>
    <col min="9" max="9" width="18.44140625" style="1" customWidth="1"/>
    <col min="10" max="10" width="12.5546875" style="1" customWidth="1"/>
    <col min="11" max="11" width="14.109375" style="1" customWidth="1"/>
    <col min="12" max="12" width="18.33203125" style="1" customWidth="1"/>
    <col min="13" max="13" width="16.6640625" style="1" customWidth="1"/>
    <col min="14" max="14" width="36.109375" style="1" bestFit="1" customWidth="1"/>
    <col min="15" max="15" width="17.5546875" style="1" customWidth="1"/>
    <col min="16" max="16" width="18" style="4" customWidth="1"/>
    <col min="17" max="17" width="14.88671875" style="1" customWidth="1"/>
    <col min="18" max="18" width="17.109375" style="1" customWidth="1"/>
    <col min="19" max="19" width="13.6640625" style="1" customWidth="1"/>
    <col min="20" max="20" width="33" style="1" customWidth="1"/>
    <col min="21" max="21" width="12.88671875" customWidth="1"/>
    <col min="22" max="16384" width="8.88671875" style="1"/>
  </cols>
  <sheetData>
    <row r="1" spans="1:21" s="82" customFormat="1" ht="20.100000000000001" customHeight="1" x14ac:dyDescent="0.3">
      <c r="A1" s="77" t="s">
        <v>5</v>
      </c>
      <c r="B1" s="78" t="s">
        <v>181</v>
      </c>
      <c r="C1" s="78" t="s">
        <v>182</v>
      </c>
      <c r="D1" s="78" t="s">
        <v>0</v>
      </c>
      <c r="E1" s="78" t="s">
        <v>1</v>
      </c>
      <c r="F1" s="78" t="s">
        <v>6</v>
      </c>
      <c r="G1" s="78" t="s">
        <v>7</v>
      </c>
      <c r="H1" s="78" t="s">
        <v>320</v>
      </c>
      <c r="I1" s="78" t="s">
        <v>321</v>
      </c>
      <c r="J1" s="78" t="s">
        <v>174</v>
      </c>
      <c r="K1" s="78" t="s">
        <v>175</v>
      </c>
      <c r="L1" s="78" t="s">
        <v>179</v>
      </c>
      <c r="M1" s="78" t="s">
        <v>180</v>
      </c>
      <c r="N1" s="79" t="s">
        <v>2</v>
      </c>
      <c r="O1" s="78" t="s">
        <v>9</v>
      </c>
      <c r="P1" s="80" t="s">
        <v>10</v>
      </c>
      <c r="Q1" s="78" t="s">
        <v>12</v>
      </c>
      <c r="R1" s="78" t="s">
        <v>11</v>
      </c>
      <c r="S1" s="78" t="s">
        <v>3</v>
      </c>
      <c r="T1" s="78" t="s">
        <v>4</v>
      </c>
      <c r="U1" s="81" t="s">
        <v>190</v>
      </c>
    </row>
    <row r="2" spans="1:21" ht="20.100000000000001" customHeight="1" x14ac:dyDescent="0.3">
      <c r="A2" s="70">
        <v>1</v>
      </c>
      <c r="B2" s="20"/>
      <c r="C2" s="20"/>
      <c r="D2" s="20" t="s">
        <v>13</v>
      </c>
      <c r="E2" s="20" t="s">
        <v>14</v>
      </c>
      <c r="F2" s="20"/>
      <c r="G2" s="20" t="s">
        <v>8</v>
      </c>
      <c r="H2" s="20" t="s">
        <v>150</v>
      </c>
      <c r="I2" s="20" t="s">
        <v>151</v>
      </c>
      <c r="J2" s="20"/>
      <c r="K2" s="20"/>
      <c r="L2" s="20"/>
      <c r="M2" s="20"/>
      <c r="N2" s="21" t="s">
        <v>15</v>
      </c>
      <c r="O2" s="20">
        <v>10160</v>
      </c>
      <c r="P2" s="22" t="s">
        <v>16</v>
      </c>
      <c r="Q2" s="20" t="s">
        <v>17</v>
      </c>
      <c r="R2" s="20" t="s">
        <v>18</v>
      </c>
      <c r="S2" s="23">
        <v>45514</v>
      </c>
      <c r="T2" s="20" t="s">
        <v>28</v>
      </c>
      <c r="U2" s="20" t="s">
        <v>191</v>
      </c>
    </row>
    <row r="3" spans="1:21" ht="20.100000000000001" customHeight="1" x14ac:dyDescent="0.3">
      <c r="A3" s="32">
        <v>2</v>
      </c>
      <c r="B3" s="21"/>
      <c r="C3" s="21"/>
      <c r="D3" s="21" t="s">
        <v>18</v>
      </c>
      <c r="E3" s="21" t="s">
        <v>19</v>
      </c>
      <c r="F3" s="21"/>
      <c r="G3" s="21" t="s">
        <v>8</v>
      </c>
      <c r="H3" s="21" t="s">
        <v>150</v>
      </c>
      <c r="I3" s="21" t="s">
        <v>151</v>
      </c>
      <c r="J3" s="21"/>
      <c r="K3" s="21"/>
      <c r="L3" s="21"/>
      <c r="M3" s="21"/>
      <c r="N3" s="21" t="s">
        <v>20</v>
      </c>
      <c r="O3" s="21">
        <v>10160</v>
      </c>
      <c r="P3" s="24">
        <v>9749</v>
      </c>
      <c r="Q3" s="21" t="s">
        <v>21</v>
      </c>
      <c r="R3" s="21" t="s">
        <v>18</v>
      </c>
      <c r="S3" s="25">
        <v>45515</v>
      </c>
      <c r="T3" s="21" t="s">
        <v>28</v>
      </c>
      <c r="U3" s="21" t="s">
        <v>191</v>
      </c>
    </row>
    <row r="4" spans="1:21" ht="20.100000000000001" customHeight="1" x14ac:dyDescent="0.3">
      <c r="A4" s="38">
        <v>3</v>
      </c>
      <c r="B4" s="10"/>
      <c r="C4" s="10"/>
      <c r="D4" s="10" t="s">
        <v>22</v>
      </c>
      <c r="E4" s="10" t="s">
        <v>23</v>
      </c>
      <c r="F4" s="10"/>
      <c r="G4" s="10" t="s">
        <v>8</v>
      </c>
      <c r="H4" s="10" t="s">
        <v>150</v>
      </c>
      <c r="I4" s="10" t="s">
        <v>165</v>
      </c>
      <c r="J4" s="11" t="s">
        <v>155</v>
      </c>
      <c r="K4" s="10">
        <v>90</v>
      </c>
      <c r="L4" s="10" t="s">
        <v>170</v>
      </c>
      <c r="M4" s="10"/>
      <c r="N4" s="10" t="s">
        <v>24</v>
      </c>
      <c r="O4" s="10">
        <v>11455</v>
      </c>
      <c r="P4" s="12">
        <v>10067.68</v>
      </c>
      <c r="Q4" s="10" t="s">
        <v>17</v>
      </c>
      <c r="R4" s="10" t="s">
        <v>26</v>
      </c>
      <c r="S4" s="10"/>
      <c r="T4" s="10" t="s">
        <v>37</v>
      </c>
      <c r="U4" s="10" t="s">
        <v>192</v>
      </c>
    </row>
    <row r="5" spans="1:21" ht="20.100000000000001" customHeight="1" x14ac:dyDescent="0.3">
      <c r="A5" s="32">
        <v>4</v>
      </c>
      <c r="B5" s="21"/>
      <c r="C5" s="21"/>
      <c r="D5" s="21" t="s">
        <v>25</v>
      </c>
      <c r="E5" s="21" t="s">
        <v>26</v>
      </c>
      <c r="F5" s="21"/>
      <c r="G5" s="21" t="s">
        <v>8</v>
      </c>
      <c r="H5" s="21" t="s">
        <v>157</v>
      </c>
      <c r="I5" s="21"/>
      <c r="J5" s="21"/>
      <c r="K5" s="21"/>
      <c r="L5" s="21"/>
      <c r="M5" s="21"/>
      <c r="N5" s="21" t="s">
        <v>27</v>
      </c>
      <c r="O5" s="21">
        <v>8642</v>
      </c>
      <c r="P5" s="24" t="s">
        <v>16</v>
      </c>
      <c r="Q5" s="26">
        <v>45529</v>
      </c>
      <c r="R5" s="26">
        <v>45542</v>
      </c>
      <c r="S5" s="26">
        <v>45531</v>
      </c>
      <c r="T5" s="21" t="s">
        <v>28</v>
      </c>
      <c r="U5" s="21" t="s">
        <v>191</v>
      </c>
    </row>
    <row r="6" spans="1:21" ht="20.100000000000001" customHeight="1" x14ac:dyDescent="0.3">
      <c r="A6" s="38">
        <v>5</v>
      </c>
      <c r="B6" s="10"/>
      <c r="C6" s="10"/>
      <c r="D6" s="10" t="s">
        <v>29</v>
      </c>
      <c r="E6" s="10" t="s">
        <v>23</v>
      </c>
      <c r="F6" s="10"/>
      <c r="G6" s="10" t="s">
        <v>8</v>
      </c>
      <c r="H6" s="10" t="s">
        <v>150</v>
      </c>
      <c r="I6" s="10" t="s">
        <v>165</v>
      </c>
      <c r="J6" s="10" t="s">
        <v>152</v>
      </c>
      <c r="K6" s="10">
        <v>100</v>
      </c>
      <c r="L6" s="10" t="s">
        <v>172</v>
      </c>
      <c r="M6" s="10"/>
      <c r="N6" s="10" t="s">
        <v>30</v>
      </c>
      <c r="O6" s="10">
        <v>12833</v>
      </c>
      <c r="P6" s="12">
        <v>12974.22</v>
      </c>
      <c r="Q6" s="27">
        <v>45520</v>
      </c>
      <c r="R6" s="27">
        <v>45535</v>
      </c>
      <c r="S6" s="27"/>
      <c r="T6" s="10" t="s">
        <v>37</v>
      </c>
      <c r="U6" s="10" t="s">
        <v>192</v>
      </c>
    </row>
    <row r="7" spans="1:21" ht="20.100000000000001" customHeight="1" x14ac:dyDescent="0.3">
      <c r="A7" s="32">
        <v>6</v>
      </c>
      <c r="B7" s="21"/>
      <c r="C7" s="21"/>
      <c r="D7" s="21" t="s">
        <v>31</v>
      </c>
      <c r="E7" s="21"/>
      <c r="F7" s="21"/>
      <c r="G7" s="21" t="s">
        <v>31</v>
      </c>
      <c r="H7" s="21" t="s">
        <v>166</v>
      </c>
      <c r="I7" s="21" t="s">
        <v>164</v>
      </c>
      <c r="J7" s="21"/>
      <c r="K7" s="21"/>
      <c r="L7" s="21"/>
      <c r="M7" s="21"/>
      <c r="N7" s="21" t="s">
        <v>32</v>
      </c>
      <c r="O7" s="21">
        <v>14550</v>
      </c>
      <c r="P7" s="24" t="s">
        <v>16</v>
      </c>
      <c r="Q7" s="26">
        <v>45518</v>
      </c>
      <c r="R7" s="26">
        <v>45538</v>
      </c>
      <c r="S7" s="26">
        <v>45540</v>
      </c>
      <c r="T7" s="21" t="s">
        <v>28</v>
      </c>
      <c r="U7" s="21" t="s">
        <v>191</v>
      </c>
    </row>
    <row r="8" spans="1:21" ht="20.100000000000001" customHeight="1" x14ac:dyDescent="0.3">
      <c r="A8" s="32">
        <v>7</v>
      </c>
      <c r="B8" s="21"/>
      <c r="C8" s="21"/>
      <c r="D8" s="21" t="s">
        <v>33</v>
      </c>
      <c r="E8" s="21" t="s">
        <v>34</v>
      </c>
      <c r="F8" s="21"/>
      <c r="G8" s="21" t="s">
        <v>35</v>
      </c>
      <c r="H8" s="21" t="s">
        <v>166</v>
      </c>
      <c r="I8" s="21" t="s">
        <v>164</v>
      </c>
      <c r="J8" s="21"/>
      <c r="K8" s="21"/>
      <c r="L8" s="21"/>
      <c r="M8" s="21"/>
      <c r="N8" s="21" t="s">
        <v>32</v>
      </c>
      <c r="O8" s="21">
        <v>12000</v>
      </c>
      <c r="P8" s="24">
        <v>12000</v>
      </c>
      <c r="Q8" s="26">
        <v>45521</v>
      </c>
      <c r="R8" s="26">
        <v>45524</v>
      </c>
      <c r="S8" s="26">
        <v>45523</v>
      </c>
      <c r="T8" s="21" t="s">
        <v>36</v>
      </c>
      <c r="U8" s="21" t="s">
        <v>191</v>
      </c>
    </row>
    <row r="9" spans="1:21" ht="20.100000000000001" customHeight="1" x14ac:dyDescent="0.3">
      <c r="A9" s="32">
        <v>8</v>
      </c>
      <c r="B9" s="21"/>
      <c r="C9" s="21"/>
      <c r="D9" s="21" t="s">
        <v>38</v>
      </c>
      <c r="E9" s="21" t="s">
        <v>39</v>
      </c>
      <c r="F9" s="21"/>
      <c r="G9" s="21" t="s">
        <v>8</v>
      </c>
      <c r="H9" s="21" t="s">
        <v>150</v>
      </c>
      <c r="I9" s="21" t="s">
        <v>153</v>
      </c>
      <c r="J9" s="21"/>
      <c r="K9" s="21"/>
      <c r="L9" s="21"/>
      <c r="M9" s="21"/>
      <c r="N9" s="21" t="s">
        <v>40</v>
      </c>
      <c r="O9" s="21">
        <v>7228</v>
      </c>
      <c r="P9" s="24" t="s">
        <v>16</v>
      </c>
      <c r="Q9" s="26">
        <v>45529</v>
      </c>
      <c r="R9" s="26">
        <v>45538</v>
      </c>
      <c r="S9" s="26">
        <v>45545</v>
      </c>
      <c r="T9" s="21" t="s">
        <v>28</v>
      </c>
      <c r="U9" s="21" t="s">
        <v>191</v>
      </c>
    </row>
    <row r="10" spans="1:21" ht="20.100000000000001" customHeight="1" x14ac:dyDescent="0.3">
      <c r="A10" s="32">
        <v>9</v>
      </c>
      <c r="B10" s="21"/>
      <c r="C10" s="21"/>
      <c r="D10" s="21" t="s">
        <v>41</v>
      </c>
      <c r="E10" s="21" t="s">
        <v>42</v>
      </c>
      <c r="F10" s="21"/>
      <c r="G10" s="21" t="s">
        <v>43</v>
      </c>
      <c r="H10" s="21" t="s">
        <v>158</v>
      </c>
      <c r="I10" s="21" t="s">
        <v>160</v>
      </c>
      <c r="J10" s="21"/>
      <c r="K10" s="21"/>
      <c r="L10" s="21"/>
      <c r="M10" s="21"/>
      <c r="N10" s="21" t="s">
        <v>44</v>
      </c>
      <c r="O10" s="21">
        <v>22000</v>
      </c>
      <c r="P10" s="24">
        <v>22000</v>
      </c>
      <c r="Q10" s="26">
        <v>45523</v>
      </c>
      <c r="R10" s="26">
        <v>45536</v>
      </c>
      <c r="S10" s="30">
        <v>45552</v>
      </c>
      <c r="T10" s="21"/>
      <c r="U10" s="21" t="s">
        <v>191</v>
      </c>
    </row>
    <row r="11" spans="1:21" ht="20.100000000000001" customHeight="1" x14ac:dyDescent="0.3">
      <c r="A11" s="15">
        <v>10</v>
      </c>
      <c r="B11" s="7"/>
      <c r="C11" s="7"/>
      <c r="D11" s="7" t="s">
        <v>41</v>
      </c>
      <c r="E11" s="7" t="s">
        <v>42</v>
      </c>
      <c r="F11" s="7"/>
      <c r="G11" s="7" t="s">
        <v>41</v>
      </c>
      <c r="H11" s="7" t="s">
        <v>161</v>
      </c>
      <c r="I11" s="7" t="s">
        <v>159</v>
      </c>
      <c r="J11" s="7"/>
      <c r="K11" s="7"/>
      <c r="L11" s="7"/>
      <c r="M11" s="7"/>
      <c r="N11" s="7" t="s">
        <v>45</v>
      </c>
      <c r="O11" s="7">
        <v>16000</v>
      </c>
      <c r="P11" s="9">
        <v>16000</v>
      </c>
      <c r="Q11" s="13"/>
      <c r="R11" s="13"/>
      <c r="S11" s="13"/>
      <c r="T11" s="7" t="s">
        <v>109</v>
      </c>
      <c r="U11" s="7" t="s">
        <v>193</v>
      </c>
    </row>
    <row r="12" spans="1:21" ht="20.100000000000001" customHeight="1" x14ac:dyDescent="0.3">
      <c r="A12" s="32">
        <v>11</v>
      </c>
      <c r="B12" s="21"/>
      <c r="C12" s="21"/>
      <c r="D12" s="21" t="s">
        <v>41</v>
      </c>
      <c r="E12" s="21" t="s">
        <v>46</v>
      </c>
      <c r="F12" s="21"/>
      <c r="G12" s="21" t="s">
        <v>43</v>
      </c>
      <c r="H12" s="21" t="s">
        <v>161</v>
      </c>
      <c r="I12" s="21" t="s">
        <v>159</v>
      </c>
      <c r="J12" s="21"/>
      <c r="K12" s="21"/>
      <c r="L12" s="21"/>
      <c r="M12" s="21"/>
      <c r="N12" s="21" t="s">
        <v>47</v>
      </c>
      <c r="O12" s="21">
        <v>6000</v>
      </c>
      <c r="P12" s="24">
        <v>12000</v>
      </c>
      <c r="Q12" s="26">
        <v>45529</v>
      </c>
      <c r="R12" s="26">
        <v>45550</v>
      </c>
      <c r="S12" s="30">
        <v>45552</v>
      </c>
      <c r="T12" s="28" t="s">
        <v>199</v>
      </c>
      <c r="U12" s="21" t="s">
        <v>191</v>
      </c>
    </row>
    <row r="13" spans="1:21" ht="20.100000000000001" customHeight="1" x14ac:dyDescent="0.3">
      <c r="A13" s="32">
        <v>12</v>
      </c>
      <c r="B13" s="21"/>
      <c r="C13" s="21"/>
      <c r="D13" s="21" t="s">
        <v>41</v>
      </c>
      <c r="E13" s="21" t="s">
        <v>46</v>
      </c>
      <c r="F13" s="21"/>
      <c r="G13" s="21" t="s">
        <v>43</v>
      </c>
      <c r="H13" s="21" t="s">
        <v>161</v>
      </c>
      <c r="I13" s="21" t="s">
        <v>159</v>
      </c>
      <c r="J13" s="21"/>
      <c r="K13" s="21"/>
      <c r="L13" s="21"/>
      <c r="M13" s="21"/>
      <c r="N13" s="21" t="s">
        <v>47</v>
      </c>
      <c r="O13" s="21">
        <v>6000</v>
      </c>
      <c r="P13" s="24">
        <v>12000</v>
      </c>
      <c r="Q13" s="26">
        <v>45529</v>
      </c>
      <c r="R13" s="26">
        <v>45550</v>
      </c>
      <c r="S13" s="30">
        <v>45552</v>
      </c>
      <c r="T13" s="28" t="s">
        <v>199</v>
      </c>
      <c r="U13" s="21" t="s">
        <v>191</v>
      </c>
    </row>
    <row r="14" spans="1:21" ht="20.100000000000001" customHeight="1" x14ac:dyDescent="0.3">
      <c r="A14" s="32">
        <v>13</v>
      </c>
      <c r="B14" s="21"/>
      <c r="C14" s="21"/>
      <c r="D14" s="21" t="s">
        <v>48</v>
      </c>
      <c r="E14" s="21" t="s">
        <v>49</v>
      </c>
      <c r="F14" s="21"/>
      <c r="G14" s="21" t="s">
        <v>8</v>
      </c>
      <c r="H14" s="21" t="s">
        <v>150</v>
      </c>
      <c r="I14" s="21" t="s">
        <v>165</v>
      </c>
      <c r="J14" s="21" t="s">
        <v>152</v>
      </c>
      <c r="K14" s="21">
        <v>80</v>
      </c>
      <c r="L14" s="21" t="s">
        <v>167</v>
      </c>
      <c r="M14" s="21"/>
      <c r="N14" s="21" t="s">
        <v>50</v>
      </c>
      <c r="O14" s="21">
        <v>10499</v>
      </c>
      <c r="P14" s="24">
        <v>8924</v>
      </c>
      <c r="Q14" s="26">
        <v>45536</v>
      </c>
      <c r="R14" s="26">
        <v>45551</v>
      </c>
      <c r="S14" s="26">
        <v>45543</v>
      </c>
      <c r="T14" s="21" t="s">
        <v>28</v>
      </c>
      <c r="U14" s="21" t="s">
        <v>191</v>
      </c>
    </row>
    <row r="15" spans="1:21" ht="20.100000000000001" customHeight="1" x14ac:dyDescent="0.25">
      <c r="A15" s="71">
        <v>14</v>
      </c>
      <c r="B15" s="14">
        <v>1404561</v>
      </c>
      <c r="C15" s="14">
        <v>1199284</v>
      </c>
      <c r="D15" s="8" t="s">
        <v>65</v>
      </c>
      <c r="E15" s="8" t="s">
        <v>39</v>
      </c>
      <c r="F15" s="8"/>
      <c r="G15" s="8" t="s">
        <v>8</v>
      </c>
      <c r="H15" s="8" t="s">
        <v>150</v>
      </c>
      <c r="I15" s="8" t="s">
        <v>153</v>
      </c>
      <c r="J15" s="8" t="s">
        <v>152</v>
      </c>
      <c r="K15" s="8">
        <v>80</v>
      </c>
      <c r="L15" s="8" t="s">
        <v>167</v>
      </c>
      <c r="M15" s="8"/>
      <c r="N15" s="15" t="s">
        <v>66</v>
      </c>
      <c r="O15" s="8">
        <v>7295</v>
      </c>
      <c r="P15" s="16">
        <v>5895</v>
      </c>
      <c r="Q15" s="17">
        <v>45540</v>
      </c>
      <c r="R15" s="17">
        <v>45549</v>
      </c>
      <c r="S15" s="17"/>
      <c r="T15" s="8"/>
      <c r="U15" s="8" t="s">
        <v>193</v>
      </c>
    </row>
    <row r="16" spans="1:21" ht="20.100000000000001" customHeight="1" x14ac:dyDescent="0.25">
      <c r="A16" s="72">
        <v>15</v>
      </c>
      <c r="B16" s="37">
        <v>1401137</v>
      </c>
      <c r="C16" s="37">
        <v>1197500</v>
      </c>
      <c r="D16" s="11" t="s">
        <v>61</v>
      </c>
      <c r="E16" s="11" t="s">
        <v>62</v>
      </c>
      <c r="F16" s="11"/>
      <c r="G16" s="11" t="s">
        <v>8</v>
      </c>
      <c r="H16" s="11" t="s">
        <v>157</v>
      </c>
      <c r="I16" s="11" t="s">
        <v>187</v>
      </c>
      <c r="J16" s="11"/>
      <c r="K16" s="11"/>
      <c r="L16" s="11"/>
      <c r="M16" s="11"/>
      <c r="N16" s="38" t="s">
        <v>63</v>
      </c>
      <c r="O16" s="11">
        <v>7849</v>
      </c>
      <c r="P16" s="39" t="s">
        <v>16</v>
      </c>
      <c r="Q16" s="40">
        <v>45539</v>
      </c>
      <c r="R16" s="40">
        <v>45551</v>
      </c>
      <c r="S16" s="40">
        <v>45560</v>
      </c>
      <c r="T16" s="11" t="s">
        <v>28</v>
      </c>
      <c r="U16" s="11" t="s">
        <v>208</v>
      </c>
    </row>
    <row r="17" spans="1:21" ht="20.100000000000001" customHeight="1" x14ac:dyDescent="0.3">
      <c r="A17" s="70">
        <v>16</v>
      </c>
      <c r="B17" s="20"/>
      <c r="C17" s="20"/>
      <c r="D17" s="20" t="s">
        <v>54</v>
      </c>
      <c r="E17" s="20" t="s">
        <v>55</v>
      </c>
      <c r="F17" s="20"/>
      <c r="G17" s="20" t="s">
        <v>56</v>
      </c>
      <c r="H17" s="29" t="s">
        <v>150</v>
      </c>
      <c r="I17" s="20" t="s">
        <v>165</v>
      </c>
      <c r="J17" s="21" t="s">
        <v>155</v>
      </c>
      <c r="K17" s="21">
        <v>120</v>
      </c>
      <c r="L17" s="21" t="s">
        <v>168</v>
      </c>
      <c r="M17" s="21"/>
      <c r="N17" s="21" t="s">
        <v>57</v>
      </c>
      <c r="O17" s="21">
        <v>6180</v>
      </c>
      <c r="P17" s="22">
        <v>9700</v>
      </c>
      <c r="Q17" s="30">
        <v>45538</v>
      </c>
      <c r="R17" s="30">
        <v>45551</v>
      </c>
      <c r="S17" s="30">
        <v>45550</v>
      </c>
      <c r="T17" s="28" t="s">
        <v>199</v>
      </c>
      <c r="U17" s="20" t="s">
        <v>191</v>
      </c>
    </row>
    <row r="18" spans="1:21" ht="20.100000000000001" customHeight="1" x14ac:dyDescent="0.3">
      <c r="A18" s="32">
        <v>17</v>
      </c>
      <c r="B18" s="29"/>
      <c r="C18" s="29"/>
      <c r="D18" s="21" t="s">
        <v>54</v>
      </c>
      <c r="E18" s="21" t="s">
        <v>55</v>
      </c>
      <c r="F18" s="21"/>
      <c r="G18" s="21" t="s">
        <v>56</v>
      </c>
      <c r="H18" s="29" t="s">
        <v>150</v>
      </c>
      <c r="I18" s="21" t="s">
        <v>165</v>
      </c>
      <c r="J18" s="28" t="s">
        <v>155</v>
      </c>
      <c r="K18" s="21">
        <v>120</v>
      </c>
      <c r="L18" s="21" t="s">
        <v>168</v>
      </c>
      <c r="M18" s="21"/>
      <c r="N18" s="21" t="s">
        <v>57</v>
      </c>
      <c r="O18" s="21">
        <v>6180</v>
      </c>
      <c r="P18" s="24">
        <v>9700</v>
      </c>
      <c r="Q18" s="26">
        <v>45538</v>
      </c>
      <c r="R18" s="26">
        <v>45551</v>
      </c>
      <c r="S18" s="30">
        <v>45550</v>
      </c>
      <c r="T18" s="28" t="s">
        <v>199</v>
      </c>
      <c r="U18" s="21" t="s">
        <v>191</v>
      </c>
    </row>
    <row r="19" spans="1:21" ht="20.100000000000001" customHeight="1" x14ac:dyDescent="0.25">
      <c r="A19" s="15">
        <v>18</v>
      </c>
      <c r="B19" s="18">
        <v>1400149</v>
      </c>
      <c r="C19" s="18">
        <v>1196947</v>
      </c>
      <c r="D19" s="7" t="s">
        <v>58</v>
      </c>
      <c r="E19" s="7" t="s">
        <v>59</v>
      </c>
      <c r="F19" s="7"/>
      <c r="G19" s="7" t="s">
        <v>8</v>
      </c>
      <c r="H19" s="7" t="s">
        <v>150</v>
      </c>
      <c r="I19" s="7" t="s">
        <v>165</v>
      </c>
      <c r="J19" s="7" t="s">
        <v>154</v>
      </c>
      <c r="K19" s="7">
        <v>80</v>
      </c>
      <c r="L19" s="7" t="s">
        <v>167</v>
      </c>
      <c r="M19" s="7"/>
      <c r="N19" s="7" t="s">
        <v>60</v>
      </c>
      <c r="O19" s="7">
        <v>11199</v>
      </c>
      <c r="P19" s="9">
        <v>11310</v>
      </c>
      <c r="Q19" s="13">
        <v>45539</v>
      </c>
      <c r="R19" s="13">
        <v>45553</v>
      </c>
      <c r="S19" s="13"/>
      <c r="T19" s="7"/>
      <c r="U19" s="7" t="s">
        <v>193</v>
      </c>
    </row>
    <row r="20" spans="1:21" ht="20.100000000000001" customHeight="1" x14ac:dyDescent="0.25">
      <c r="A20" s="73">
        <v>19</v>
      </c>
      <c r="B20" s="31">
        <v>1408099</v>
      </c>
      <c r="C20" s="31">
        <v>1201057</v>
      </c>
      <c r="D20" s="28" t="s">
        <v>33</v>
      </c>
      <c r="E20" s="28" t="s">
        <v>67</v>
      </c>
      <c r="F20" s="28"/>
      <c r="G20" s="28" t="s">
        <v>8</v>
      </c>
      <c r="H20" s="28" t="s">
        <v>150</v>
      </c>
      <c r="I20" s="28" t="s">
        <v>153</v>
      </c>
      <c r="J20" s="28" t="s">
        <v>177</v>
      </c>
      <c r="K20" s="28">
        <v>80</v>
      </c>
      <c r="L20" s="28" t="s">
        <v>167</v>
      </c>
      <c r="M20" s="28"/>
      <c r="N20" s="32" t="s">
        <v>68</v>
      </c>
      <c r="O20" s="28">
        <v>7987</v>
      </c>
      <c r="P20" s="33" t="s">
        <v>16</v>
      </c>
      <c r="Q20" s="34">
        <v>45541</v>
      </c>
      <c r="R20" s="34">
        <v>45551</v>
      </c>
      <c r="S20" s="34">
        <v>45556</v>
      </c>
      <c r="T20" s="28" t="s">
        <v>199</v>
      </c>
      <c r="U20" s="28" t="s">
        <v>198</v>
      </c>
    </row>
    <row r="21" spans="1:21" ht="20.100000000000001" customHeight="1" x14ac:dyDescent="0.3">
      <c r="A21" s="70">
        <v>20</v>
      </c>
      <c r="B21" s="20"/>
      <c r="C21" s="20"/>
      <c r="D21" s="20" t="s">
        <v>43</v>
      </c>
      <c r="E21" s="20" t="s">
        <v>42</v>
      </c>
      <c r="F21" s="20"/>
      <c r="G21" s="20" t="s">
        <v>43</v>
      </c>
      <c r="H21" s="20" t="s">
        <v>162</v>
      </c>
      <c r="I21" s="20" t="s">
        <v>163</v>
      </c>
      <c r="J21" s="20"/>
      <c r="K21" s="20"/>
      <c r="L21" s="20"/>
      <c r="M21" s="20"/>
      <c r="N21" s="21" t="s">
        <v>64</v>
      </c>
      <c r="O21" s="20">
        <v>9300</v>
      </c>
      <c r="P21" s="22">
        <v>9300</v>
      </c>
      <c r="Q21" s="30">
        <v>45539</v>
      </c>
      <c r="R21" s="30">
        <v>45550</v>
      </c>
      <c r="S21" s="30">
        <v>45552</v>
      </c>
      <c r="T21" s="28" t="s">
        <v>199</v>
      </c>
      <c r="U21" s="20" t="s">
        <v>191</v>
      </c>
    </row>
    <row r="22" spans="1:21" ht="20.100000000000001" customHeight="1" x14ac:dyDescent="0.25">
      <c r="A22" s="73">
        <v>21</v>
      </c>
      <c r="B22" s="31">
        <v>1408098</v>
      </c>
      <c r="C22" s="31">
        <v>1201057</v>
      </c>
      <c r="D22" s="28" t="s">
        <v>33</v>
      </c>
      <c r="E22" s="28" t="s">
        <v>67</v>
      </c>
      <c r="F22" s="28"/>
      <c r="G22" s="28" t="s">
        <v>8</v>
      </c>
      <c r="H22" s="28" t="s">
        <v>150</v>
      </c>
      <c r="I22" s="28" t="s">
        <v>153</v>
      </c>
      <c r="J22" s="28" t="s">
        <v>177</v>
      </c>
      <c r="K22" s="28">
        <v>80</v>
      </c>
      <c r="L22" s="28" t="s">
        <v>167</v>
      </c>
      <c r="M22" s="28"/>
      <c r="N22" s="32" t="s">
        <v>68</v>
      </c>
      <c r="O22" s="28">
        <v>7987</v>
      </c>
      <c r="P22" s="33" t="s">
        <v>16</v>
      </c>
      <c r="Q22" s="34">
        <v>45541</v>
      </c>
      <c r="R22" s="34">
        <v>45551</v>
      </c>
      <c r="S22" s="34">
        <v>45556</v>
      </c>
      <c r="T22" s="28" t="s">
        <v>199</v>
      </c>
      <c r="U22" s="28" t="s">
        <v>198</v>
      </c>
    </row>
    <row r="23" spans="1:21" ht="20.100000000000001" customHeight="1" x14ac:dyDescent="0.25">
      <c r="A23" s="73">
        <v>22</v>
      </c>
      <c r="B23" s="31">
        <v>1408100</v>
      </c>
      <c r="C23" s="31">
        <v>1201057</v>
      </c>
      <c r="D23" s="28" t="s">
        <v>33</v>
      </c>
      <c r="E23" s="28" t="s">
        <v>67</v>
      </c>
      <c r="F23" s="28"/>
      <c r="G23" s="28" t="s">
        <v>8</v>
      </c>
      <c r="H23" s="28" t="s">
        <v>150</v>
      </c>
      <c r="I23" s="28" t="s">
        <v>153</v>
      </c>
      <c r="J23" s="28" t="s">
        <v>177</v>
      </c>
      <c r="K23" s="28">
        <v>80</v>
      </c>
      <c r="L23" s="28" t="s">
        <v>167</v>
      </c>
      <c r="M23" s="28"/>
      <c r="N23" s="32" t="s">
        <v>68</v>
      </c>
      <c r="O23" s="28">
        <v>7987</v>
      </c>
      <c r="P23" s="33" t="s">
        <v>16</v>
      </c>
      <c r="Q23" s="34">
        <v>45541</v>
      </c>
      <c r="R23" s="34">
        <v>45551</v>
      </c>
      <c r="S23" s="34">
        <v>45556</v>
      </c>
      <c r="T23" s="28" t="s">
        <v>199</v>
      </c>
      <c r="U23" s="28" t="s">
        <v>198</v>
      </c>
    </row>
    <row r="24" spans="1:21" ht="20.100000000000001" customHeight="1" x14ac:dyDescent="0.25">
      <c r="A24" s="73">
        <v>23</v>
      </c>
      <c r="B24" s="31">
        <v>1408101</v>
      </c>
      <c r="C24" s="31">
        <v>1201057</v>
      </c>
      <c r="D24" s="28" t="s">
        <v>33</v>
      </c>
      <c r="E24" s="28" t="s">
        <v>67</v>
      </c>
      <c r="F24" s="28"/>
      <c r="G24" s="28" t="s">
        <v>8</v>
      </c>
      <c r="H24" s="28" t="s">
        <v>150</v>
      </c>
      <c r="I24" s="28" t="s">
        <v>153</v>
      </c>
      <c r="J24" s="28" t="s">
        <v>177</v>
      </c>
      <c r="K24" s="28">
        <v>80</v>
      </c>
      <c r="L24" s="28" t="s">
        <v>167</v>
      </c>
      <c r="M24" s="28"/>
      <c r="N24" s="32" t="s">
        <v>68</v>
      </c>
      <c r="O24" s="28">
        <v>7987</v>
      </c>
      <c r="P24" s="33" t="s">
        <v>16</v>
      </c>
      <c r="Q24" s="34">
        <v>45541</v>
      </c>
      <c r="R24" s="34">
        <v>45551</v>
      </c>
      <c r="S24" s="34">
        <v>45556</v>
      </c>
      <c r="T24" s="28" t="s">
        <v>199</v>
      </c>
      <c r="U24" s="28" t="s">
        <v>198</v>
      </c>
    </row>
    <row r="25" spans="1:21" ht="20.100000000000001" customHeight="1" x14ac:dyDescent="0.25">
      <c r="A25" s="71">
        <v>24</v>
      </c>
      <c r="B25" s="14">
        <v>1513856</v>
      </c>
      <c r="C25" s="14">
        <v>1231946</v>
      </c>
      <c r="D25" s="35" t="s">
        <v>106</v>
      </c>
      <c r="E25" s="35" t="s">
        <v>107</v>
      </c>
      <c r="F25" s="35"/>
      <c r="G25" s="8" t="s">
        <v>8</v>
      </c>
      <c r="H25" s="8" t="s">
        <v>157</v>
      </c>
      <c r="I25" s="8" t="s">
        <v>187</v>
      </c>
      <c r="J25" s="35"/>
      <c r="K25" s="35"/>
      <c r="L25" s="35"/>
      <c r="M25" s="35"/>
      <c r="N25" s="15" t="s">
        <v>63</v>
      </c>
      <c r="O25" s="35">
        <v>8849</v>
      </c>
      <c r="P25" s="59" t="s">
        <v>16</v>
      </c>
      <c r="Q25" s="36">
        <v>45538</v>
      </c>
      <c r="R25" s="36">
        <v>45581</v>
      </c>
      <c r="S25" s="36"/>
      <c r="T25" s="35"/>
      <c r="U25" s="7" t="s">
        <v>193</v>
      </c>
    </row>
    <row r="26" spans="1:21" ht="20.100000000000001" customHeight="1" x14ac:dyDescent="0.25">
      <c r="A26" s="73">
        <v>25</v>
      </c>
      <c r="B26" s="31">
        <v>1411691</v>
      </c>
      <c r="C26" s="31">
        <v>1202775</v>
      </c>
      <c r="D26" s="28" t="s">
        <v>69</v>
      </c>
      <c r="E26" s="28" t="s">
        <v>39</v>
      </c>
      <c r="F26" s="28"/>
      <c r="G26" s="28" t="s">
        <v>8</v>
      </c>
      <c r="H26" s="28" t="s">
        <v>150</v>
      </c>
      <c r="I26" s="28" t="s">
        <v>153</v>
      </c>
      <c r="J26" s="28" t="s">
        <v>156</v>
      </c>
      <c r="K26" s="28">
        <v>120</v>
      </c>
      <c r="L26" s="28" t="s">
        <v>167</v>
      </c>
      <c r="M26" s="28"/>
      <c r="N26" s="32" t="s">
        <v>70</v>
      </c>
      <c r="O26" s="28">
        <v>10987</v>
      </c>
      <c r="P26" s="33" t="s">
        <v>16</v>
      </c>
      <c r="Q26" s="34">
        <v>45544</v>
      </c>
      <c r="R26" s="34">
        <v>45552</v>
      </c>
      <c r="S26" s="34">
        <v>45556</v>
      </c>
      <c r="T26" s="28" t="s">
        <v>199</v>
      </c>
      <c r="U26" s="28" t="s">
        <v>191</v>
      </c>
    </row>
    <row r="27" spans="1:21" ht="20.100000000000001" customHeight="1" x14ac:dyDescent="0.3">
      <c r="A27" s="73">
        <v>26</v>
      </c>
      <c r="B27" s="28"/>
      <c r="C27" s="28"/>
      <c r="D27" s="28" t="s">
        <v>31</v>
      </c>
      <c r="E27" s="28"/>
      <c r="F27" s="28"/>
      <c r="G27" s="28" t="s">
        <v>31</v>
      </c>
      <c r="H27" s="28" t="s">
        <v>150</v>
      </c>
      <c r="I27" s="28" t="s">
        <v>165</v>
      </c>
      <c r="J27" s="28" t="s">
        <v>154</v>
      </c>
      <c r="K27" s="28">
        <v>100</v>
      </c>
      <c r="L27" s="28" t="s">
        <v>167</v>
      </c>
      <c r="M27" s="28"/>
      <c r="N27" s="32" t="s">
        <v>51</v>
      </c>
      <c r="O27" s="28">
        <v>9208</v>
      </c>
      <c r="P27" s="33">
        <v>5781.75</v>
      </c>
      <c r="Q27" s="34">
        <v>45536</v>
      </c>
      <c r="R27" s="34">
        <v>45554</v>
      </c>
      <c r="S27" s="34">
        <v>45556</v>
      </c>
      <c r="T27" s="28" t="s">
        <v>199</v>
      </c>
      <c r="U27" s="28" t="s">
        <v>198</v>
      </c>
    </row>
    <row r="28" spans="1:21" ht="20.100000000000001" customHeight="1" x14ac:dyDescent="0.3">
      <c r="A28" s="73">
        <v>27</v>
      </c>
      <c r="B28" s="28"/>
      <c r="C28" s="28"/>
      <c r="D28" s="28" t="s">
        <v>31</v>
      </c>
      <c r="E28" s="28"/>
      <c r="F28" s="28"/>
      <c r="G28" s="28" t="s">
        <v>52</v>
      </c>
      <c r="H28" s="28" t="s">
        <v>150</v>
      </c>
      <c r="I28" s="28" t="s">
        <v>165</v>
      </c>
      <c r="J28" s="28" t="s">
        <v>154</v>
      </c>
      <c r="K28" s="28">
        <v>100</v>
      </c>
      <c r="L28" s="28" t="s">
        <v>168</v>
      </c>
      <c r="M28" s="28"/>
      <c r="N28" s="32" t="s">
        <v>53</v>
      </c>
      <c r="O28" s="28">
        <v>9208</v>
      </c>
      <c r="P28" s="33">
        <v>1278.53</v>
      </c>
      <c r="Q28" s="34">
        <v>45536</v>
      </c>
      <c r="R28" s="34">
        <v>45554</v>
      </c>
      <c r="S28" s="34">
        <v>45556</v>
      </c>
      <c r="T28" s="28" t="s">
        <v>199</v>
      </c>
      <c r="U28" s="28" t="s">
        <v>198</v>
      </c>
    </row>
    <row r="29" spans="1:21" ht="20.100000000000001" customHeight="1" x14ac:dyDescent="0.3">
      <c r="A29" s="73">
        <v>28</v>
      </c>
      <c r="B29" s="28"/>
      <c r="C29" s="28"/>
      <c r="D29" s="28" t="s">
        <v>83</v>
      </c>
      <c r="E29" s="28" t="s">
        <v>84</v>
      </c>
      <c r="F29" s="28"/>
      <c r="G29" s="28" t="s">
        <v>56</v>
      </c>
      <c r="H29" s="28" t="s">
        <v>150</v>
      </c>
      <c r="I29" s="28" t="s">
        <v>153</v>
      </c>
      <c r="J29" s="28" t="s">
        <v>177</v>
      </c>
      <c r="K29" s="28">
        <v>120</v>
      </c>
      <c r="L29" s="28" t="s">
        <v>167</v>
      </c>
      <c r="M29" s="28"/>
      <c r="N29" s="19" t="s">
        <v>87</v>
      </c>
      <c r="O29" s="28">
        <v>4020</v>
      </c>
      <c r="P29" s="33" t="s">
        <v>85</v>
      </c>
      <c r="Q29" s="34">
        <v>45547</v>
      </c>
      <c r="R29" s="34">
        <v>45556</v>
      </c>
      <c r="S29" s="34">
        <v>45557</v>
      </c>
      <c r="T29" s="28" t="s">
        <v>199</v>
      </c>
      <c r="U29" s="28" t="s">
        <v>191</v>
      </c>
    </row>
    <row r="30" spans="1:21" ht="20.100000000000001" customHeight="1" x14ac:dyDescent="0.3">
      <c r="A30" s="73">
        <v>29</v>
      </c>
      <c r="B30" s="28"/>
      <c r="C30" s="28"/>
      <c r="D30" s="28" t="s">
        <v>83</v>
      </c>
      <c r="E30" s="28" t="s">
        <v>84</v>
      </c>
      <c r="F30" s="28"/>
      <c r="G30" s="28" t="s">
        <v>56</v>
      </c>
      <c r="H30" s="28" t="s">
        <v>150</v>
      </c>
      <c r="I30" s="28" t="s">
        <v>153</v>
      </c>
      <c r="J30" s="28" t="s">
        <v>177</v>
      </c>
      <c r="K30" s="28">
        <v>120</v>
      </c>
      <c r="L30" s="28" t="s">
        <v>167</v>
      </c>
      <c r="M30" s="28"/>
      <c r="N30" s="19" t="s">
        <v>87</v>
      </c>
      <c r="O30" s="28">
        <v>4020</v>
      </c>
      <c r="P30" s="33" t="s">
        <v>85</v>
      </c>
      <c r="Q30" s="34">
        <v>45547</v>
      </c>
      <c r="R30" s="34">
        <v>45556</v>
      </c>
      <c r="S30" s="34">
        <v>45557</v>
      </c>
      <c r="T30" s="28" t="s">
        <v>199</v>
      </c>
      <c r="U30" s="28" t="s">
        <v>191</v>
      </c>
    </row>
    <row r="31" spans="1:21" ht="20.100000000000001" customHeight="1" x14ac:dyDescent="0.3">
      <c r="A31" s="73">
        <v>30</v>
      </c>
      <c r="B31" s="28"/>
      <c r="C31" s="28"/>
      <c r="D31" s="28" t="s">
        <v>83</v>
      </c>
      <c r="E31" s="28" t="s">
        <v>84</v>
      </c>
      <c r="F31" s="28"/>
      <c r="G31" s="28" t="s">
        <v>56</v>
      </c>
      <c r="H31" s="28" t="s">
        <v>150</v>
      </c>
      <c r="I31" s="28" t="s">
        <v>153</v>
      </c>
      <c r="J31" s="28" t="s">
        <v>169</v>
      </c>
      <c r="K31" s="28">
        <v>120</v>
      </c>
      <c r="L31" s="28" t="s">
        <v>168</v>
      </c>
      <c r="M31" s="28"/>
      <c r="N31" s="19" t="s">
        <v>86</v>
      </c>
      <c r="O31" s="28">
        <v>4020</v>
      </c>
      <c r="P31" s="33" t="s">
        <v>115</v>
      </c>
      <c r="Q31" s="34">
        <v>45547</v>
      </c>
      <c r="R31" s="34">
        <v>45556</v>
      </c>
      <c r="S31" s="34">
        <v>45557</v>
      </c>
      <c r="T31" s="28" t="s">
        <v>199</v>
      </c>
      <c r="U31" s="28" t="s">
        <v>191</v>
      </c>
    </row>
    <row r="32" spans="1:21" ht="20.100000000000001" customHeight="1" x14ac:dyDescent="0.3">
      <c r="A32" s="73">
        <v>31</v>
      </c>
      <c r="B32" s="28"/>
      <c r="C32" s="28"/>
      <c r="D32" s="28" t="s">
        <v>83</v>
      </c>
      <c r="E32" s="28" t="s">
        <v>84</v>
      </c>
      <c r="F32" s="28"/>
      <c r="G32" s="28" t="s">
        <v>56</v>
      </c>
      <c r="H32" s="28" t="s">
        <v>150</v>
      </c>
      <c r="I32" s="28" t="s">
        <v>153</v>
      </c>
      <c r="J32" s="28" t="s">
        <v>169</v>
      </c>
      <c r="K32" s="28">
        <v>120</v>
      </c>
      <c r="L32" s="28" t="s">
        <v>168</v>
      </c>
      <c r="M32" s="28"/>
      <c r="N32" s="19" t="s">
        <v>86</v>
      </c>
      <c r="O32" s="28">
        <v>4020</v>
      </c>
      <c r="P32" s="33" t="s">
        <v>115</v>
      </c>
      <c r="Q32" s="34">
        <v>45547</v>
      </c>
      <c r="R32" s="34">
        <v>45556</v>
      </c>
      <c r="S32" s="34">
        <v>45557</v>
      </c>
      <c r="T32" s="28" t="s">
        <v>199</v>
      </c>
      <c r="U32" s="28" t="s">
        <v>191</v>
      </c>
    </row>
    <row r="33" spans="1:21" ht="20.100000000000001" customHeight="1" x14ac:dyDescent="0.25">
      <c r="A33" s="72">
        <v>32</v>
      </c>
      <c r="B33" s="37">
        <v>1509211</v>
      </c>
      <c r="C33" s="37">
        <v>1230837</v>
      </c>
      <c r="D33" s="11" t="s">
        <v>143</v>
      </c>
      <c r="E33" s="11" t="s">
        <v>144</v>
      </c>
      <c r="F33" s="11"/>
      <c r="G33" s="11" t="s">
        <v>8</v>
      </c>
      <c r="H33" s="11" t="s">
        <v>150</v>
      </c>
      <c r="I33" s="11" t="s">
        <v>151</v>
      </c>
      <c r="J33" s="11"/>
      <c r="K33" s="11"/>
      <c r="L33" s="11" t="s">
        <v>168</v>
      </c>
      <c r="M33" s="11" t="s">
        <v>168</v>
      </c>
      <c r="N33" s="38" t="s">
        <v>145</v>
      </c>
      <c r="O33" s="11">
        <v>9399</v>
      </c>
      <c r="P33" s="33" t="s">
        <v>115</v>
      </c>
      <c r="Q33" s="11" t="s">
        <v>146</v>
      </c>
      <c r="R33" s="40">
        <v>45557</v>
      </c>
      <c r="S33" s="11" t="s">
        <v>192</v>
      </c>
      <c r="T33" s="11" t="s">
        <v>37</v>
      </c>
      <c r="U33" s="11" t="s">
        <v>192</v>
      </c>
    </row>
    <row r="34" spans="1:21" ht="20.100000000000001" customHeight="1" x14ac:dyDescent="0.25">
      <c r="A34" s="73">
        <v>33</v>
      </c>
      <c r="B34" s="31">
        <v>1536687</v>
      </c>
      <c r="C34" s="31">
        <v>1237682</v>
      </c>
      <c r="D34" s="28" t="s">
        <v>147</v>
      </c>
      <c r="E34" s="28" t="s">
        <v>148</v>
      </c>
      <c r="F34" s="28"/>
      <c r="G34" s="28" t="s">
        <v>8</v>
      </c>
      <c r="H34" s="28" t="s">
        <v>157</v>
      </c>
      <c r="I34" s="28" t="s">
        <v>189</v>
      </c>
      <c r="J34" s="28"/>
      <c r="K34" s="28"/>
      <c r="L34" s="28"/>
      <c r="M34" s="28"/>
      <c r="N34" s="32" t="s">
        <v>149</v>
      </c>
      <c r="O34" s="28">
        <v>8349</v>
      </c>
      <c r="P34" s="33" t="s">
        <v>115</v>
      </c>
      <c r="Q34" s="34">
        <v>45549</v>
      </c>
      <c r="R34" s="34">
        <v>45557</v>
      </c>
      <c r="S34" s="34">
        <v>45559</v>
      </c>
      <c r="T34" s="21" t="s">
        <v>28</v>
      </c>
      <c r="U34" s="28" t="s">
        <v>191</v>
      </c>
    </row>
    <row r="35" spans="1:21" ht="20.100000000000001" customHeight="1" x14ac:dyDescent="0.25">
      <c r="A35" s="73">
        <v>34</v>
      </c>
      <c r="B35" s="31">
        <v>1520537</v>
      </c>
      <c r="C35" s="31">
        <v>1233624</v>
      </c>
      <c r="D35" s="41" t="s">
        <v>104</v>
      </c>
      <c r="E35" s="41" t="s">
        <v>39</v>
      </c>
      <c r="F35" s="41"/>
      <c r="G35" s="28" t="s">
        <v>8</v>
      </c>
      <c r="H35" s="41" t="s">
        <v>150</v>
      </c>
      <c r="I35" s="41" t="s">
        <v>151</v>
      </c>
      <c r="J35" s="41"/>
      <c r="K35" s="41"/>
      <c r="L35" s="28" t="s">
        <v>168</v>
      </c>
      <c r="M35" s="28" t="s">
        <v>168</v>
      </c>
      <c r="N35" s="42" t="s">
        <v>105</v>
      </c>
      <c r="O35" s="41">
        <v>9399</v>
      </c>
      <c r="P35" s="43" t="s">
        <v>16</v>
      </c>
      <c r="Q35" s="44">
        <v>45548</v>
      </c>
      <c r="R35" s="44">
        <v>45559</v>
      </c>
      <c r="S35" s="44" t="s">
        <v>209</v>
      </c>
      <c r="T35" s="41" t="s">
        <v>28</v>
      </c>
      <c r="U35" s="28" t="s">
        <v>198</v>
      </c>
    </row>
    <row r="36" spans="1:21" ht="20.100000000000001" customHeight="1" x14ac:dyDescent="0.25">
      <c r="A36" s="73">
        <v>35</v>
      </c>
      <c r="B36" s="31">
        <v>1422998</v>
      </c>
      <c r="C36" s="31">
        <v>1207350</v>
      </c>
      <c r="D36" s="28" t="s">
        <v>71</v>
      </c>
      <c r="E36" s="28" t="s">
        <v>72</v>
      </c>
      <c r="F36" s="28"/>
      <c r="G36" s="28" t="s">
        <v>8</v>
      </c>
      <c r="H36" s="28" t="s">
        <v>157</v>
      </c>
      <c r="I36" s="28" t="s">
        <v>187</v>
      </c>
      <c r="J36" s="28"/>
      <c r="K36" s="28"/>
      <c r="L36" s="28"/>
      <c r="M36" s="28"/>
      <c r="N36" s="32" t="s">
        <v>63</v>
      </c>
      <c r="O36" s="28">
        <v>7849</v>
      </c>
      <c r="P36" s="33">
        <v>7928</v>
      </c>
      <c r="Q36" s="34">
        <v>45547</v>
      </c>
      <c r="R36" s="34">
        <v>45561</v>
      </c>
      <c r="S36" s="21" t="s">
        <v>28</v>
      </c>
      <c r="T36" s="21" t="s">
        <v>28</v>
      </c>
      <c r="U36" s="28" t="s">
        <v>194</v>
      </c>
    </row>
    <row r="37" spans="1:21" ht="20.100000000000001" customHeight="1" x14ac:dyDescent="0.3">
      <c r="A37" s="74">
        <v>36</v>
      </c>
      <c r="B37" s="53"/>
      <c r="C37" s="53"/>
      <c r="D37" s="53" t="s">
        <v>79</v>
      </c>
      <c r="E37" s="53" t="s">
        <v>80</v>
      </c>
      <c r="F37" s="53" t="s">
        <v>81</v>
      </c>
      <c r="G37" s="53" t="s">
        <v>35</v>
      </c>
      <c r="H37" s="53" t="s">
        <v>150</v>
      </c>
      <c r="I37" s="53" t="s">
        <v>171</v>
      </c>
      <c r="J37" s="53" t="s">
        <v>155</v>
      </c>
      <c r="K37" s="53">
        <v>100</v>
      </c>
      <c r="L37" s="53" t="s">
        <v>168</v>
      </c>
      <c r="M37" s="53"/>
      <c r="N37" s="54" t="s">
        <v>82</v>
      </c>
      <c r="O37" s="53">
        <v>9450</v>
      </c>
      <c r="P37" s="45">
        <v>9450</v>
      </c>
      <c r="Q37" s="46">
        <v>45547</v>
      </c>
      <c r="R37" s="46">
        <v>45561</v>
      </c>
      <c r="S37" s="46"/>
      <c r="T37" s="53"/>
      <c r="U37" s="53" t="s">
        <v>236</v>
      </c>
    </row>
    <row r="38" spans="1:21" ht="20.100000000000001" customHeight="1" x14ac:dyDescent="0.25">
      <c r="A38" s="73">
        <v>37</v>
      </c>
      <c r="B38" s="31">
        <v>1459790</v>
      </c>
      <c r="C38" s="31">
        <v>1218257</v>
      </c>
      <c r="D38" s="41" t="s">
        <v>95</v>
      </c>
      <c r="E38" s="41" t="s">
        <v>67</v>
      </c>
      <c r="F38" s="41"/>
      <c r="G38" s="28" t="s">
        <v>8</v>
      </c>
      <c r="H38" s="41" t="s">
        <v>150</v>
      </c>
      <c r="I38" s="28" t="s">
        <v>153</v>
      </c>
      <c r="J38" s="28" t="s">
        <v>156</v>
      </c>
      <c r="K38" s="41">
        <v>120</v>
      </c>
      <c r="L38" s="41" t="s">
        <v>168</v>
      </c>
      <c r="M38" s="41"/>
      <c r="N38" s="42" t="s">
        <v>96</v>
      </c>
      <c r="O38" s="41">
        <v>7460</v>
      </c>
      <c r="P38" s="43" t="s">
        <v>16</v>
      </c>
      <c r="Q38" s="44">
        <v>45548</v>
      </c>
      <c r="R38" s="44">
        <v>45561</v>
      </c>
      <c r="S38" s="44">
        <v>45568</v>
      </c>
      <c r="T38" s="28" t="s">
        <v>199</v>
      </c>
      <c r="U38" s="28" t="s">
        <v>198</v>
      </c>
    </row>
    <row r="39" spans="1:21" ht="20.100000000000001" customHeight="1" x14ac:dyDescent="0.25">
      <c r="A39" s="73">
        <v>38</v>
      </c>
      <c r="B39" s="31">
        <v>1455486</v>
      </c>
      <c r="C39" s="31">
        <v>1217163</v>
      </c>
      <c r="D39" s="41" t="s">
        <v>99</v>
      </c>
      <c r="E39" s="28" t="s">
        <v>67</v>
      </c>
      <c r="F39" s="41"/>
      <c r="G39" s="28" t="s">
        <v>8</v>
      </c>
      <c r="H39" s="41" t="s">
        <v>150</v>
      </c>
      <c r="I39" s="28" t="s">
        <v>153</v>
      </c>
      <c r="J39" s="41" t="s">
        <v>178</v>
      </c>
      <c r="K39" s="41">
        <v>140</v>
      </c>
      <c r="L39" s="41" t="s">
        <v>176</v>
      </c>
      <c r="M39" s="41" t="s">
        <v>172</v>
      </c>
      <c r="N39" s="42" t="s">
        <v>100</v>
      </c>
      <c r="O39" s="41">
        <v>9528</v>
      </c>
      <c r="P39" s="43" t="s">
        <v>16</v>
      </c>
      <c r="Q39" s="44">
        <v>45548</v>
      </c>
      <c r="R39" s="44">
        <v>45561</v>
      </c>
      <c r="S39" s="44">
        <v>45568</v>
      </c>
      <c r="T39" s="28" t="s">
        <v>199</v>
      </c>
      <c r="U39" s="28" t="s">
        <v>198</v>
      </c>
    </row>
    <row r="40" spans="1:21" ht="20.100000000000001" customHeight="1" x14ac:dyDescent="0.25">
      <c r="A40" s="73">
        <v>39</v>
      </c>
      <c r="B40" s="31">
        <v>1504407</v>
      </c>
      <c r="C40" s="31">
        <v>1229760</v>
      </c>
      <c r="D40" s="28" t="s">
        <v>141</v>
      </c>
      <c r="E40" s="28" t="s">
        <v>39</v>
      </c>
      <c r="F40" s="28"/>
      <c r="G40" s="28" t="s">
        <v>8</v>
      </c>
      <c r="H40" s="28" t="s">
        <v>150</v>
      </c>
      <c r="I40" s="28" t="s">
        <v>165</v>
      </c>
      <c r="J40" s="28" t="s">
        <v>155</v>
      </c>
      <c r="K40" s="28">
        <v>120</v>
      </c>
      <c r="L40" s="28" t="s">
        <v>172</v>
      </c>
      <c r="M40" s="28"/>
      <c r="N40" s="32" t="s">
        <v>142</v>
      </c>
      <c r="O40" s="28">
        <v>12999</v>
      </c>
      <c r="P40" s="33" t="s">
        <v>16</v>
      </c>
      <c r="Q40" s="34">
        <v>45549</v>
      </c>
      <c r="R40" s="34">
        <v>45562</v>
      </c>
      <c r="S40" s="34">
        <v>45567</v>
      </c>
      <c r="T40" s="28" t="s">
        <v>199</v>
      </c>
      <c r="U40" s="28" t="s">
        <v>198</v>
      </c>
    </row>
    <row r="41" spans="1:21" ht="20.100000000000001" customHeight="1" x14ac:dyDescent="0.25">
      <c r="A41" s="71">
        <v>40</v>
      </c>
      <c r="B41" s="14">
        <v>1423361</v>
      </c>
      <c r="C41" s="14">
        <v>1207484</v>
      </c>
      <c r="D41" s="8" t="s">
        <v>73</v>
      </c>
      <c r="E41" s="8" t="s">
        <v>74</v>
      </c>
      <c r="F41" s="8"/>
      <c r="G41" s="8" t="s">
        <v>8</v>
      </c>
      <c r="H41" s="8" t="s">
        <v>150</v>
      </c>
      <c r="I41" s="8" t="s">
        <v>165</v>
      </c>
      <c r="J41" s="8" t="s">
        <v>152</v>
      </c>
      <c r="K41" s="8">
        <v>90</v>
      </c>
      <c r="L41" s="8" t="s">
        <v>168</v>
      </c>
      <c r="M41" s="8"/>
      <c r="N41" s="15" t="s">
        <v>77</v>
      </c>
      <c r="O41" s="8">
        <v>5999</v>
      </c>
      <c r="P41" s="16" t="s">
        <v>16</v>
      </c>
      <c r="Q41" s="17">
        <v>45547</v>
      </c>
      <c r="R41" s="17">
        <v>45564</v>
      </c>
      <c r="S41" s="17"/>
      <c r="T41" s="8"/>
      <c r="U41" s="8"/>
    </row>
    <row r="42" spans="1:21" ht="20.100000000000001" customHeight="1" x14ac:dyDescent="0.25">
      <c r="A42" s="73">
        <v>41</v>
      </c>
      <c r="B42" s="31">
        <v>1415725</v>
      </c>
      <c r="C42" s="31">
        <v>1204732</v>
      </c>
      <c r="D42" s="28" t="s">
        <v>75</v>
      </c>
      <c r="E42" s="28" t="s">
        <v>76</v>
      </c>
      <c r="F42" s="28"/>
      <c r="G42" s="28" t="s">
        <v>8</v>
      </c>
      <c r="H42" s="28" t="s">
        <v>150</v>
      </c>
      <c r="I42" s="28" t="s">
        <v>165</v>
      </c>
      <c r="J42" s="28" t="s">
        <v>155</v>
      </c>
      <c r="K42" s="28">
        <v>100</v>
      </c>
      <c r="L42" s="28" t="s">
        <v>168</v>
      </c>
      <c r="M42" s="28"/>
      <c r="N42" s="32" t="s">
        <v>78</v>
      </c>
      <c r="O42" s="28">
        <v>11949</v>
      </c>
      <c r="P42" s="33">
        <v>10749</v>
      </c>
      <c r="Q42" s="34">
        <v>45547</v>
      </c>
      <c r="R42" s="34">
        <v>45564</v>
      </c>
      <c r="S42" s="34">
        <v>45567</v>
      </c>
      <c r="T42" s="28" t="s">
        <v>199</v>
      </c>
      <c r="U42" s="28" t="s">
        <v>198</v>
      </c>
    </row>
    <row r="43" spans="1:21" ht="20.100000000000001" customHeight="1" x14ac:dyDescent="0.25">
      <c r="A43" s="73">
        <v>42</v>
      </c>
      <c r="B43" s="31">
        <v>1415726</v>
      </c>
      <c r="C43" s="31">
        <v>1204732</v>
      </c>
      <c r="D43" s="28" t="s">
        <v>75</v>
      </c>
      <c r="E43" s="28" t="s">
        <v>76</v>
      </c>
      <c r="F43" s="28"/>
      <c r="G43" s="28" t="s">
        <v>8</v>
      </c>
      <c r="H43" s="28" t="s">
        <v>150</v>
      </c>
      <c r="I43" s="28" t="s">
        <v>165</v>
      </c>
      <c r="J43" s="28" t="s">
        <v>155</v>
      </c>
      <c r="K43" s="28">
        <v>100</v>
      </c>
      <c r="L43" s="28" t="s">
        <v>168</v>
      </c>
      <c r="M43" s="28"/>
      <c r="N43" s="32" t="s">
        <v>78</v>
      </c>
      <c r="O43" s="28">
        <v>11949</v>
      </c>
      <c r="P43" s="33">
        <v>10749</v>
      </c>
      <c r="Q43" s="34">
        <v>45547</v>
      </c>
      <c r="R43" s="34">
        <v>45564</v>
      </c>
      <c r="S43" s="34">
        <v>45567</v>
      </c>
      <c r="T43" s="28" t="s">
        <v>199</v>
      </c>
      <c r="U43" s="28" t="s">
        <v>198</v>
      </c>
    </row>
    <row r="44" spans="1:21" ht="20.100000000000001" customHeight="1" x14ac:dyDescent="0.25">
      <c r="A44" s="73">
        <v>43</v>
      </c>
      <c r="B44" s="31">
        <v>1499397</v>
      </c>
      <c r="C44" s="31">
        <v>1228586</v>
      </c>
      <c r="D44" s="41" t="s">
        <v>33</v>
      </c>
      <c r="E44" s="41" t="s">
        <v>88</v>
      </c>
      <c r="F44" s="41"/>
      <c r="G44" s="28" t="s">
        <v>8</v>
      </c>
      <c r="H44" s="41" t="s">
        <v>150</v>
      </c>
      <c r="I44" s="28" t="s">
        <v>171</v>
      </c>
      <c r="J44" s="28" t="s">
        <v>155</v>
      </c>
      <c r="K44" s="41">
        <v>80</v>
      </c>
      <c r="L44" s="41" t="s">
        <v>167</v>
      </c>
      <c r="M44" s="41"/>
      <c r="N44" s="42" t="s">
        <v>91</v>
      </c>
      <c r="O44" s="41">
        <v>16599</v>
      </c>
      <c r="P44" s="43" t="s">
        <v>16</v>
      </c>
      <c r="Q44" s="44">
        <v>45548</v>
      </c>
      <c r="R44" s="44">
        <v>45565</v>
      </c>
      <c r="S44" s="44">
        <v>45568</v>
      </c>
      <c r="T44" s="28" t="s">
        <v>199</v>
      </c>
      <c r="U44" s="28" t="s">
        <v>198</v>
      </c>
    </row>
    <row r="45" spans="1:21" ht="20.100000000000001" customHeight="1" x14ac:dyDescent="0.25">
      <c r="A45" s="73">
        <v>44</v>
      </c>
      <c r="B45" s="31">
        <v>1458696</v>
      </c>
      <c r="C45" s="31">
        <v>1217982</v>
      </c>
      <c r="D45" s="41" t="s">
        <v>89</v>
      </c>
      <c r="E45" s="41" t="s">
        <v>26</v>
      </c>
      <c r="F45" s="41"/>
      <c r="G45" s="28" t="s">
        <v>8</v>
      </c>
      <c r="H45" s="41" t="s">
        <v>150</v>
      </c>
      <c r="I45" s="28" t="s">
        <v>165</v>
      </c>
      <c r="J45" s="28" t="s">
        <v>155</v>
      </c>
      <c r="K45" s="28">
        <v>80</v>
      </c>
      <c r="L45" s="28" t="s">
        <v>167</v>
      </c>
      <c r="M45" s="28"/>
      <c r="N45" s="42" t="s">
        <v>90</v>
      </c>
      <c r="O45" s="41">
        <v>10999</v>
      </c>
      <c r="P45" s="43" t="s">
        <v>16</v>
      </c>
      <c r="Q45" s="44">
        <v>45548</v>
      </c>
      <c r="R45" s="44">
        <v>45565</v>
      </c>
      <c r="S45" s="44">
        <v>45581</v>
      </c>
      <c r="T45" s="41" t="s">
        <v>28</v>
      </c>
      <c r="U45" s="28" t="s">
        <v>198</v>
      </c>
    </row>
    <row r="46" spans="1:21" ht="20.100000000000001" customHeight="1" x14ac:dyDescent="0.25">
      <c r="A46" s="73">
        <v>45</v>
      </c>
      <c r="B46" s="31">
        <v>1480814</v>
      </c>
      <c r="C46" s="31">
        <v>1223964</v>
      </c>
      <c r="D46" s="41" t="s">
        <v>92</v>
      </c>
      <c r="E46" s="41" t="s">
        <v>93</v>
      </c>
      <c r="F46" s="41"/>
      <c r="G46" s="28" t="s">
        <v>8</v>
      </c>
      <c r="H46" s="41" t="s">
        <v>150</v>
      </c>
      <c r="I46" s="28" t="s">
        <v>165</v>
      </c>
      <c r="J46" s="28" t="s">
        <v>155</v>
      </c>
      <c r="K46" s="41">
        <v>140</v>
      </c>
      <c r="L46" s="41" t="s">
        <v>170</v>
      </c>
      <c r="M46" s="41"/>
      <c r="N46" s="42" t="s">
        <v>94</v>
      </c>
      <c r="O46" s="41">
        <v>13099</v>
      </c>
      <c r="P46" s="43" t="s">
        <v>16</v>
      </c>
      <c r="Q46" s="44">
        <v>45548</v>
      </c>
      <c r="R46" s="44">
        <v>45565</v>
      </c>
      <c r="S46" s="44">
        <v>45568</v>
      </c>
      <c r="T46" s="41" t="s">
        <v>28</v>
      </c>
      <c r="U46" s="28" t="s">
        <v>198</v>
      </c>
    </row>
    <row r="47" spans="1:21" ht="20.100000000000001" customHeight="1" x14ac:dyDescent="0.25">
      <c r="A47" s="73">
        <v>46</v>
      </c>
      <c r="B47" s="31">
        <v>1492471</v>
      </c>
      <c r="C47" s="31">
        <v>1227052</v>
      </c>
      <c r="D47" s="41" t="s">
        <v>97</v>
      </c>
      <c r="E47" s="28" t="s">
        <v>39</v>
      </c>
      <c r="F47" s="41"/>
      <c r="G47" s="28" t="s">
        <v>8</v>
      </c>
      <c r="H47" s="41" t="s">
        <v>150</v>
      </c>
      <c r="I47" s="28" t="s">
        <v>165</v>
      </c>
      <c r="J47" s="28" t="s">
        <v>154</v>
      </c>
      <c r="K47" s="28">
        <v>120</v>
      </c>
      <c r="L47" s="28" t="s">
        <v>173</v>
      </c>
      <c r="M47" s="28"/>
      <c r="N47" s="42" t="s">
        <v>98</v>
      </c>
      <c r="O47" s="41">
        <v>13849</v>
      </c>
      <c r="P47" s="43" t="s">
        <v>16</v>
      </c>
      <c r="Q47" s="44">
        <v>45548</v>
      </c>
      <c r="R47" s="44">
        <v>45565</v>
      </c>
      <c r="S47" s="34">
        <v>45585</v>
      </c>
      <c r="T47" s="28" t="s">
        <v>199</v>
      </c>
      <c r="U47" s="28" t="s">
        <v>198</v>
      </c>
    </row>
    <row r="48" spans="1:21" ht="20.100000000000001" customHeight="1" x14ac:dyDescent="0.25">
      <c r="A48" s="75">
        <v>47</v>
      </c>
      <c r="B48" s="47">
        <v>1507912</v>
      </c>
      <c r="C48" s="47">
        <v>1230527</v>
      </c>
      <c r="D48" s="41" t="s">
        <v>101</v>
      </c>
      <c r="E48" s="41" t="s">
        <v>102</v>
      </c>
      <c r="F48" s="41"/>
      <c r="G48" s="41" t="s">
        <v>8</v>
      </c>
      <c r="H48" s="41" t="s">
        <v>161</v>
      </c>
      <c r="I48" s="41" t="s">
        <v>164</v>
      </c>
      <c r="J48" s="41"/>
      <c r="K48" s="41"/>
      <c r="L48" s="41" t="s">
        <v>168</v>
      </c>
      <c r="M48" s="41" t="s">
        <v>172</v>
      </c>
      <c r="N48" s="42" t="s">
        <v>103</v>
      </c>
      <c r="O48" s="41">
        <v>21999</v>
      </c>
      <c r="P48" s="43" t="s">
        <v>16</v>
      </c>
      <c r="Q48" s="44">
        <v>45548</v>
      </c>
      <c r="R48" s="44">
        <v>45565</v>
      </c>
      <c r="S48" s="21" t="s">
        <v>28</v>
      </c>
      <c r="T48" s="28" t="s">
        <v>199</v>
      </c>
      <c r="U48" s="41" t="s">
        <v>198</v>
      </c>
    </row>
    <row r="49" spans="1:21" ht="20.100000000000001" customHeight="1" x14ac:dyDescent="0.25">
      <c r="A49" s="73">
        <v>48</v>
      </c>
      <c r="B49" s="31">
        <v>1525747</v>
      </c>
      <c r="C49" s="31">
        <v>1234936</v>
      </c>
      <c r="D49" s="41" t="s">
        <v>108</v>
      </c>
      <c r="E49" s="41" t="s">
        <v>39</v>
      </c>
      <c r="F49" s="41"/>
      <c r="G49" s="28" t="s">
        <v>8</v>
      </c>
      <c r="H49" s="41" t="s">
        <v>150</v>
      </c>
      <c r="I49" s="28" t="s">
        <v>165</v>
      </c>
      <c r="J49" s="28" t="s">
        <v>155</v>
      </c>
      <c r="K49" s="28">
        <v>80</v>
      </c>
      <c r="L49" s="28" t="s">
        <v>167</v>
      </c>
      <c r="M49" s="28"/>
      <c r="N49" s="42" t="s">
        <v>90</v>
      </c>
      <c r="O49" s="41">
        <v>10999</v>
      </c>
      <c r="P49" s="43" t="s">
        <v>16</v>
      </c>
      <c r="Q49" s="44">
        <v>45548</v>
      </c>
      <c r="R49" s="44">
        <v>45565</v>
      </c>
      <c r="S49" s="44">
        <v>45580</v>
      </c>
      <c r="T49" s="28" t="s">
        <v>199</v>
      </c>
      <c r="U49" s="28" t="s">
        <v>198</v>
      </c>
    </row>
    <row r="50" spans="1:21" ht="20.100000000000001" customHeight="1" x14ac:dyDescent="0.25">
      <c r="A50" s="73">
        <v>49</v>
      </c>
      <c r="B50" s="31">
        <v>1536313</v>
      </c>
      <c r="C50" s="31">
        <v>1237601</v>
      </c>
      <c r="D50" s="41" t="s">
        <v>110</v>
      </c>
      <c r="E50" s="41" t="s">
        <v>107</v>
      </c>
      <c r="F50" s="41"/>
      <c r="G50" s="28" t="s">
        <v>8</v>
      </c>
      <c r="H50" s="41" t="s">
        <v>150</v>
      </c>
      <c r="I50" s="28" t="s">
        <v>171</v>
      </c>
      <c r="J50" s="28" t="s">
        <v>155</v>
      </c>
      <c r="K50" s="41">
        <v>90</v>
      </c>
      <c r="L50" s="41" t="s">
        <v>168</v>
      </c>
      <c r="M50" s="41"/>
      <c r="N50" s="42" t="s">
        <v>111</v>
      </c>
      <c r="O50" s="41">
        <v>17249</v>
      </c>
      <c r="P50" s="43" t="s">
        <v>16</v>
      </c>
      <c r="Q50" s="44">
        <v>45548</v>
      </c>
      <c r="R50" s="44">
        <v>45565</v>
      </c>
      <c r="S50" s="44">
        <v>45569</v>
      </c>
      <c r="T50" s="28" t="s">
        <v>199</v>
      </c>
      <c r="U50" s="28" t="s">
        <v>198</v>
      </c>
    </row>
    <row r="51" spans="1:21" ht="20.100000000000001" customHeight="1" x14ac:dyDescent="0.25">
      <c r="A51" s="73">
        <v>50</v>
      </c>
      <c r="B51" s="31">
        <v>1505609</v>
      </c>
      <c r="C51" s="31">
        <v>1230031</v>
      </c>
      <c r="D51" s="28" t="s">
        <v>138</v>
      </c>
      <c r="E51" s="28" t="s">
        <v>139</v>
      </c>
      <c r="F51" s="28"/>
      <c r="G51" s="28" t="s">
        <v>8</v>
      </c>
      <c r="H51" s="28" t="s">
        <v>157</v>
      </c>
      <c r="I51" s="28" t="s">
        <v>187</v>
      </c>
      <c r="J51" s="28"/>
      <c r="K51" s="28"/>
      <c r="L51" s="28"/>
      <c r="M51" s="28"/>
      <c r="N51" s="32" t="s">
        <v>140</v>
      </c>
      <c r="O51" s="28">
        <v>8349</v>
      </c>
      <c r="P51" s="33" t="s">
        <v>16</v>
      </c>
      <c r="Q51" s="34">
        <v>45549</v>
      </c>
      <c r="R51" s="34">
        <v>45581</v>
      </c>
      <c r="S51" s="34">
        <v>45586</v>
      </c>
      <c r="T51" s="28" t="s">
        <v>199</v>
      </c>
      <c r="U51" s="28" t="s">
        <v>198</v>
      </c>
    </row>
    <row r="52" spans="1:21" ht="20.100000000000001" customHeight="1" x14ac:dyDescent="0.25">
      <c r="A52" s="73">
        <v>51</v>
      </c>
      <c r="B52" s="31">
        <v>1612229</v>
      </c>
      <c r="C52" s="31">
        <v>1254076</v>
      </c>
      <c r="D52" s="28" t="s">
        <v>118</v>
      </c>
      <c r="E52" s="28" t="s">
        <v>62</v>
      </c>
      <c r="F52" s="28"/>
      <c r="G52" s="28" t="s">
        <v>8</v>
      </c>
      <c r="H52" s="28" t="s">
        <v>157</v>
      </c>
      <c r="I52" s="41" t="s">
        <v>188</v>
      </c>
      <c r="J52" s="41"/>
      <c r="K52" s="41"/>
      <c r="L52" s="41"/>
      <c r="M52" s="41"/>
      <c r="N52" s="32" t="s">
        <v>27</v>
      </c>
      <c r="O52" s="41">
        <v>7849</v>
      </c>
      <c r="P52" s="43" t="s">
        <v>16</v>
      </c>
      <c r="Q52" s="44">
        <v>45549</v>
      </c>
      <c r="R52" s="44">
        <v>45594</v>
      </c>
      <c r="S52" s="44">
        <v>45595</v>
      </c>
      <c r="T52" s="28" t="s">
        <v>199</v>
      </c>
      <c r="U52" s="28" t="s">
        <v>198</v>
      </c>
    </row>
    <row r="53" spans="1:21" ht="20.100000000000001" customHeight="1" x14ac:dyDescent="0.25">
      <c r="A53" s="73">
        <v>52</v>
      </c>
      <c r="B53" s="31">
        <v>1673771</v>
      </c>
      <c r="C53" s="31">
        <v>1269559</v>
      </c>
      <c r="D53" s="28" t="s">
        <v>119</v>
      </c>
      <c r="E53" s="41" t="s">
        <v>39</v>
      </c>
      <c r="F53" s="28"/>
      <c r="G53" s="28" t="s">
        <v>8</v>
      </c>
      <c r="H53" s="41" t="s">
        <v>150</v>
      </c>
      <c r="I53" s="41" t="s">
        <v>151</v>
      </c>
      <c r="J53" s="41"/>
      <c r="K53" s="41"/>
      <c r="L53" s="28" t="s">
        <v>168</v>
      </c>
      <c r="M53" s="28" t="s">
        <v>168</v>
      </c>
      <c r="N53" s="42" t="s">
        <v>120</v>
      </c>
      <c r="O53" s="41">
        <v>9399</v>
      </c>
      <c r="P53" s="43" t="s">
        <v>115</v>
      </c>
      <c r="Q53" s="44">
        <v>45549</v>
      </c>
      <c r="R53" s="44">
        <v>45594</v>
      </c>
      <c r="S53" s="44">
        <v>45580</v>
      </c>
      <c r="T53" s="28" t="s">
        <v>199</v>
      </c>
      <c r="U53" s="28" t="s">
        <v>198</v>
      </c>
    </row>
    <row r="54" spans="1:21" ht="20.100000000000001" customHeight="1" x14ac:dyDescent="0.25">
      <c r="A54" s="73">
        <v>53</v>
      </c>
      <c r="B54" s="31">
        <v>1667352</v>
      </c>
      <c r="C54" s="31">
        <v>1267819</v>
      </c>
      <c r="D54" s="28" t="s">
        <v>121</v>
      </c>
      <c r="E54" s="28" t="s">
        <v>122</v>
      </c>
      <c r="F54" s="28"/>
      <c r="G54" s="28" t="s">
        <v>8</v>
      </c>
      <c r="H54" s="41" t="s">
        <v>150</v>
      </c>
      <c r="I54" s="28" t="s">
        <v>153</v>
      </c>
      <c r="J54" s="28" t="s">
        <v>156</v>
      </c>
      <c r="K54" s="41">
        <v>140</v>
      </c>
      <c r="L54" s="41" t="s">
        <v>168</v>
      </c>
      <c r="M54" s="41"/>
      <c r="N54" s="32" t="s">
        <v>123</v>
      </c>
      <c r="O54" s="41">
        <v>11817</v>
      </c>
      <c r="P54" s="43" t="s">
        <v>115</v>
      </c>
      <c r="Q54" s="44">
        <v>45549</v>
      </c>
      <c r="R54" s="44">
        <v>45594</v>
      </c>
      <c r="S54" s="34">
        <v>45580</v>
      </c>
      <c r="T54" s="28" t="s">
        <v>199</v>
      </c>
      <c r="U54" s="28" t="s">
        <v>198</v>
      </c>
    </row>
    <row r="55" spans="1:21" ht="20.100000000000001" customHeight="1" x14ac:dyDescent="0.25">
      <c r="A55" s="73">
        <v>54</v>
      </c>
      <c r="B55" s="31">
        <v>1649781</v>
      </c>
      <c r="C55" s="31">
        <v>1263160</v>
      </c>
      <c r="D55" s="28" t="s">
        <v>124</v>
      </c>
      <c r="E55" s="28" t="s">
        <v>88</v>
      </c>
      <c r="F55" s="28"/>
      <c r="G55" s="28" t="s">
        <v>8</v>
      </c>
      <c r="H55" s="28" t="s">
        <v>157</v>
      </c>
      <c r="I55" s="28" t="s">
        <v>189</v>
      </c>
      <c r="J55" s="41"/>
      <c r="K55" s="41"/>
      <c r="L55" s="41"/>
      <c r="M55" s="41"/>
      <c r="N55" s="32" t="s">
        <v>125</v>
      </c>
      <c r="O55" s="41">
        <v>8349</v>
      </c>
      <c r="P55" s="43" t="s">
        <v>115</v>
      </c>
      <c r="Q55" s="44">
        <v>45549</v>
      </c>
      <c r="R55" s="44">
        <v>45594</v>
      </c>
      <c r="S55" s="34">
        <v>45584</v>
      </c>
      <c r="T55" s="28" t="s">
        <v>199</v>
      </c>
      <c r="U55" s="28" t="s">
        <v>198</v>
      </c>
    </row>
    <row r="56" spans="1:21" ht="20.100000000000001" customHeight="1" x14ac:dyDescent="0.25">
      <c r="A56" s="71">
        <v>55</v>
      </c>
      <c r="B56" s="14">
        <v>1681476</v>
      </c>
      <c r="C56" s="14">
        <v>1271813</v>
      </c>
      <c r="D56" s="8" t="s">
        <v>128</v>
      </c>
      <c r="E56" s="8" t="s">
        <v>129</v>
      </c>
      <c r="F56" s="8"/>
      <c r="G56" s="8" t="s">
        <v>8</v>
      </c>
      <c r="H56" s="35" t="s">
        <v>150</v>
      </c>
      <c r="I56" s="8" t="s">
        <v>153</v>
      </c>
      <c r="J56" s="8" t="s">
        <v>177</v>
      </c>
      <c r="K56" s="35">
        <v>120</v>
      </c>
      <c r="L56" s="35" t="s">
        <v>167</v>
      </c>
      <c r="M56" s="35"/>
      <c r="N56" s="6" t="s">
        <v>130</v>
      </c>
      <c r="O56" s="8">
        <v>17886</v>
      </c>
      <c r="P56" s="16" t="s">
        <v>115</v>
      </c>
      <c r="Q56" s="17">
        <v>45549</v>
      </c>
      <c r="R56" s="36">
        <v>45594</v>
      </c>
      <c r="S56" s="8"/>
      <c r="T56" s="8"/>
      <c r="U56" s="8" t="s">
        <v>193</v>
      </c>
    </row>
    <row r="57" spans="1:21" ht="20.100000000000001" customHeight="1" x14ac:dyDescent="0.25">
      <c r="A57" s="71">
        <v>56</v>
      </c>
      <c r="B57" s="14">
        <v>1681477</v>
      </c>
      <c r="C57" s="14">
        <v>1271813</v>
      </c>
      <c r="D57" s="8" t="s">
        <v>128</v>
      </c>
      <c r="E57" s="8" t="s">
        <v>129</v>
      </c>
      <c r="F57" s="8"/>
      <c r="G57" s="8" t="s">
        <v>8</v>
      </c>
      <c r="H57" s="35" t="s">
        <v>150</v>
      </c>
      <c r="I57" s="8" t="s">
        <v>153</v>
      </c>
      <c r="J57" s="8" t="s">
        <v>177</v>
      </c>
      <c r="K57" s="35">
        <v>120</v>
      </c>
      <c r="L57" s="35" t="s">
        <v>167</v>
      </c>
      <c r="M57" s="35"/>
      <c r="N57" s="6" t="s">
        <v>130</v>
      </c>
      <c r="O57" s="8">
        <v>17886</v>
      </c>
      <c r="P57" s="16" t="s">
        <v>115</v>
      </c>
      <c r="Q57" s="17">
        <v>45549</v>
      </c>
      <c r="R57" s="36">
        <v>45594</v>
      </c>
      <c r="S57" s="8"/>
      <c r="T57" s="8"/>
      <c r="U57" s="8" t="s">
        <v>193</v>
      </c>
    </row>
    <row r="58" spans="1:21" ht="20.100000000000001" customHeight="1" x14ac:dyDescent="0.25">
      <c r="A58" s="73">
        <v>57</v>
      </c>
      <c r="B58" s="31">
        <v>1677530</v>
      </c>
      <c r="C58" s="31">
        <v>1270704</v>
      </c>
      <c r="D58" s="28" t="s">
        <v>131</v>
      </c>
      <c r="E58" s="28" t="s">
        <v>67</v>
      </c>
      <c r="F58" s="28"/>
      <c r="G58" s="28" t="s">
        <v>8</v>
      </c>
      <c r="H58" s="41" t="s">
        <v>150</v>
      </c>
      <c r="I58" s="28" t="s">
        <v>153</v>
      </c>
      <c r="J58" s="28" t="s">
        <v>156</v>
      </c>
      <c r="K58" s="41">
        <v>120</v>
      </c>
      <c r="L58" s="41" t="s">
        <v>167</v>
      </c>
      <c r="M58" s="41"/>
      <c r="N58" s="32" t="s">
        <v>132</v>
      </c>
      <c r="O58" s="41">
        <v>10987</v>
      </c>
      <c r="P58" s="33" t="s">
        <v>16</v>
      </c>
      <c r="Q58" s="34">
        <v>45549</v>
      </c>
      <c r="R58" s="44">
        <v>45594</v>
      </c>
      <c r="S58" s="34">
        <v>45578</v>
      </c>
      <c r="T58" s="28" t="s">
        <v>199</v>
      </c>
      <c r="U58" s="28" t="s">
        <v>198</v>
      </c>
    </row>
    <row r="59" spans="1:21" ht="20.100000000000001" customHeight="1" x14ac:dyDescent="0.25">
      <c r="A59" s="73">
        <v>58</v>
      </c>
      <c r="B59" s="31">
        <v>1677528</v>
      </c>
      <c r="C59" s="31">
        <v>1270704</v>
      </c>
      <c r="D59" s="28" t="s">
        <v>131</v>
      </c>
      <c r="E59" s="28" t="s">
        <v>67</v>
      </c>
      <c r="F59" s="28"/>
      <c r="G59" s="28" t="s">
        <v>8</v>
      </c>
      <c r="H59" s="41" t="s">
        <v>150</v>
      </c>
      <c r="I59" s="28" t="s">
        <v>153</v>
      </c>
      <c r="J59" s="28" t="s">
        <v>156</v>
      </c>
      <c r="K59" s="41">
        <v>120</v>
      </c>
      <c r="L59" s="41" t="s">
        <v>167</v>
      </c>
      <c r="M59" s="41"/>
      <c r="N59" s="32" t="s">
        <v>132</v>
      </c>
      <c r="O59" s="41">
        <v>10987</v>
      </c>
      <c r="P59" s="33" t="s">
        <v>16</v>
      </c>
      <c r="Q59" s="34">
        <v>45549</v>
      </c>
      <c r="R59" s="44">
        <v>45594</v>
      </c>
      <c r="S59" s="34">
        <v>45578</v>
      </c>
      <c r="T59" s="28" t="s">
        <v>199</v>
      </c>
      <c r="U59" s="28" t="s">
        <v>198</v>
      </c>
    </row>
    <row r="60" spans="1:21" ht="20.100000000000001" customHeight="1" x14ac:dyDescent="0.25">
      <c r="A60" s="73">
        <v>59</v>
      </c>
      <c r="B60" s="31">
        <v>1657744</v>
      </c>
      <c r="C60" s="31">
        <v>1265268</v>
      </c>
      <c r="D60" s="28" t="s">
        <v>134</v>
      </c>
      <c r="E60" s="28" t="s">
        <v>135</v>
      </c>
      <c r="F60" s="28"/>
      <c r="G60" s="28" t="s">
        <v>8</v>
      </c>
      <c r="H60" s="28" t="s">
        <v>157</v>
      </c>
      <c r="I60" s="28" t="s">
        <v>187</v>
      </c>
      <c r="J60" s="28"/>
      <c r="K60" s="28"/>
      <c r="L60" s="28"/>
      <c r="M60" s="28"/>
      <c r="N60" s="32" t="s">
        <v>63</v>
      </c>
      <c r="O60" s="28">
        <v>10319</v>
      </c>
      <c r="P60" s="33" t="s">
        <v>16</v>
      </c>
      <c r="Q60" s="34">
        <v>45549</v>
      </c>
      <c r="R60" s="34">
        <v>45594</v>
      </c>
      <c r="S60" s="34">
        <v>45584</v>
      </c>
      <c r="T60" s="28" t="s">
        <v>199</v>
      </c>
      <c r="U60" s="28" t="s">
        <v>198</v>
      </c>
    </row>
    <row r="61" spans="1:21" ht="20.100000000000001" customHeight="1" x14ac:dyDescent="0.25">
      <c r="A61" s="73">
        <v>60</v>
      </c>
      <c r="B61" s="31">
        <v>1610613</v>
      </c>
      <c r="C61" s="31">
        <v>1253646</v>
      </c>
      <c r="D61" s="28" t="s">
        <v>112</v>
      </c>
      <c r="E61" s="28" t="s">
        <v>113</v>
      </c>
      <c r="F61" s="28"/>
      <c r="G61" s="28" t="s">
        <v>8</v>
      </c>
      <c r="H61" s="41" t="s">
        <v>150</v>
      </c>
      <c r="I61" s="28" t="s">
        <v>165</v>
      </c>
      <c r="J61" s="28" t="s">
        <v>155</v>
      </c>
      <c r="K61" s="28">
        <v>120</v>
      </c>
      <c r="L61" s="28" t="s">
        <v>172</v>
      </c>
      <c r="M61" s="28"/>
      <c r="N61" s="32" t="s">
        <v>114</v>
      </c>
      <c r="O61" s="41">
        <v>12999</v>
      </c>
      <c r="P61" s="43" t="s">
        <v>115</v>
      </c>
      <c r="Q61" s="44">
        <v>45549</v>
      </c>
      <c r="R61" s="44">
        <v>45616</v>
      </c>
      <c r="S61" s="44">
        <v>45582</v>
      </c>
      <c r="T61" s="28" t="s">
        <v>28</v>
      </c>
      <c r="U61" s="28" t="s">
        <v>198</v>
      </c>
    </row>
    <row r="62" spans="1:21" ht="20.100000000000001" customHeight="1" x14ac:dyDescent="0.25">
      <c r="A62" s="72">
        <v>61</v>
      </c>
      <c r="B62" s="37">
        <v>1608468</v>
      </c>
      <c r="C62" s="37">
        <v>1253172</v>
      </c>
      <c r="D62" s="11" t="s">
        <v>116</v>
      </c>
      <c r="E62" s="11" t="s">
        <v>117</v>
      </c>
      <c r="F62" s="11"/>
      <c r="G62" s="11" t="s">
        <v>8</v>
      </c>
      <c r="H62" s="11" t="s">
        <v>161</v>
      </c>
      <c r="I62" s="11" t="s">
        <v>164</v>
      </c>
      <c r="J62" s="11"/>
      <c r="K62" s="11"/>
      <c r="L62" s="11" t="s">
        <v>168</v>
      </c>
      <c r="M62" s="11" t="s">
        <v>172</v>
      </c>
      <c r="N62" s="6" t="s">
        <v>103</v>
      </c>
      <c r="O62" s="11">
        <v>21999</v>
      </c>
      <c r="P62" s="45" t="s">
        <v>16</v>
      </c>
      <c r="Q62" s="46">
        <v>45549</v>
      </c>
      <c r="R62" s="40">
        <v>45616</v>
      </c>
      <c r="S62" s="40"/>
      <c r="T62" s="11"/>
      <c r="U62" s="8" t="s">
        <v>193</v>
      </c>
    </row>
    <row r="63" spans="1:21" ht="20.100000000000001" customHeight="1" x14ac:dyDescent="0.25">
      <c r="A63" s="73">
        <v>62</v>
      </c>
      <c r="B63" s="31">
        <v>1654554</v>
      </c>
      <c r="C63" s="31">
        <v>1264469</v>
      </c>
      <c r="D63" s="28" t="s">
        <v>126</v>
      </c>
      <c r="E63" s="28" t="s">
        <v>88</v>
      </c>
      <c r="F63" s="28"/>
      <c r="G63" s="28" t="s">
        <v>8</v>
      </c>
      <c r="H63" s="41" t="s">
        <v>150</v>
      </c>
      <c r="I63" s="28" t="s">
        <v>165</v>
      </c>
      <c r="J63" s="41" t="s">
        <v>152</v>
      </c>
      <c r="K63" s="41">
        <v>100</v>
      </c>
      <c r="L63" s="41" t="s">
        <v>172</v>
      </c>
      <c r="M63" s="41"/>
      <c r="N63" s="6" t="s">
        <v>127</v>
      </c>
      <c r="O63" s="41">
        <v>12399</v>
      </c>
      <c r="P63" s="33" t="s">
        <v>16</v>
      </c>
      <c r="Q63" s="44">
        <v>45549</v>
      </c>
      <c r="R63" s="44">
        <v>45616</v>
      </c>
      <c r="S63" s="34">
        <v>45566</v>
      </c>
      <c r="T63" s="41" t="s">
        <v>28</v>
      </c>
      <c r="U63" s="28" t="s">
        <v>198</v>
      </c>
    </row>
    <row r="64" spans="1:21" ht="20.100000000000001" customHeight="1" x14ac:dyDescent="0.25">
      <c r="A64" s="73">
        <v>63</v>
      </c>
      <c r="B64" s="31">
        <v>1644504</v>
      </c>
      <c r="C64" s="31">
        <v>1261644</v>
      </c>
      <c r="D64" s="28" t="s">
        <v>133</v>
      </c>
      <c r="E64" s="28" t="s">
        <v>67</v>
      </c>
      <c r="F64" s="28"/>
      <c r="G64" s="28" t="s">
        <v>8</v>
      </c>
      <c r="H64" s="41" t="s">
        <v>161</v>
      </c>
      <c r="I64" s="41" t="s">
        <v>164</v>
      </c>
      <c r="J64" s="41"/>
      <c r="K64" s="41"/>
      <c r="L64" s="28" t="s">
        <v>168</v>
      </c>
      <c r="M64" s="28" t="s">
        <v>172</v>
      </c>
      <c r="N64" s="32" t="s">
        <v>103</v>
      </c>
      <c r="O64" s="41">
        <v>21999</v>
      </c>
      <c r="P64" s="33" t="s">
        <v>16</v>
      </c>
      <c r="Q64" s="34">
        <v>45549</v>
      </c>
      <c r="R64" s="34">
        <v>45616</v>
      </c>
      <c r="S64" s="34">
        <v>45574</v>
      </c>
      <c r="T64" s="28" t="s">
        <v>199</v>
      </c>
      <c r="U64" s="50" t="s">
        <v>228</v>
      </c>
    </row>
    <row r="65" spans="1:21" ht="20.100000000000001" customHeight="1" x14ac:dyDescent="0.25">
      <c r="A65" s="73">
        <v>64</v>
      </c>
      <c r="B65" s="31">
        <v>1655447</v>
      </c>
      <c r="C65" s="31">
        <v>1264684</v>
      </c>
      <c r="D65" s="28" t="s">
        <v>136</v>
      </c>
      <c r="E65" s="28" t="s">
        <v>62</v>
      </c>
      <c r="F65" s="28"/>
      <c r="G65" s="28" t="s">
        <v>8</v>
      </c>
      <c r="H65" s="28" t="s">
        <v>150</v>
      </c>
      <c r="I65" s="28" t="s">
        <v>165</v>
      </c>
      <c r="J65" s="28" t="s">
        <v>152</v>
      </c>
      <c r="K65" s="28">
        <v>80</v>
      </c>
      <c r="L65" s="28" t="s">
        <v>167</v>
      </c>
      <c r="M65" s="28"/>
      <c r="N65" s="32" t="s">
        <v>137</v>
      </c>
      <c r="O65" s="28">
        <v>10999</v>
      </c>
      <c r="P65" s="33" t="s">
        <v>115</v>
      </c>
      <c r="Q65" s="34">
        <v>45549</v>
      </c>
      <c r="R65" s="34">
        <v>45616</v>
      </c>
      <c r="S65" s="34">
        <v>45581</v>
      </c>
      <c r="T65" s="28" t="s">
        <v>199</v>
      </c>
      <c r="U65" s="50" t="s">
        <v>228</v>
      </c>
    </row>
    <row r="66" spans="1:21" ht="20.100000000000001" customHeight="1" x14ac:dyDescent="0.25">
      <c r="A66" s="73">
        <v>65</v>
      </c>
      <c r="B66" s="31">
        <v>1679731</v>
      </c>
      <c r="C66" s="31">
        <v>1271291</v>
      </c>
      <c r="D66" s="52" t="s">
        <v>183</v>
      </c>
      <c r="E66" s="52" t="s">
        <v>184</v>
      </c>
      <c r="F66" s="28"/>
      <c r="G66" s="28" t="s">
        <v>8</v>
      </c>
      <c r="H66" s="28" t="s">
        <v>150</v>
      </c>
      <c r="I66" s="28" t="s">
        <v>165</v>
      </c>
      <c r="J66" s="28" t="s">
        <v>155</v>
      </c>
      <c r="K66" s="28">
        <v>80</v>
      </c>
      <c r="L66" s="28" t="s">
        <v>167</v>
      </c>
      <c r="M66" s="28"/>
      <c r="N66" s="32"/>
      <c r="O66" s="28">
        <v>10999</v>
      </c>
      <c r="P66" s="33" t="s">
        <v>115</v>
      </c>
      <c r="Q66" s="28" t="s">
        <v>195</v>
      </c>
      <c r="R66" s="34">
        <v>45616</v>
      </c>
      <c r="S66" s="34">
        <v>45581</v>
      </c>
      <c r="T66" s="28" t="s">
        <v>199</v>
      </c>
      <c r="U66" s="50" t="s">
        <v>228</v>
      </c>
    </row>
    <row r="67" spans="1:21" ht="20.100000000000001" customHeight="1" x14ac:dyDescent="0.25">
      <c r="A67" s="73">
        <v>66</v>
      </c>
      <c r="B67" s="31">
        <v>1679739</v>
      </c>
      <c r="C67" s="31">
        <v>1271291</v>
      </c>
      <c r="D67" s="52" t="s">
        <v>183</v>
      </c>
      <c r="E67" s="52" t="s">
        <v>184</v>
      </c>
      <c r="F67" s="28"/>
      <c r="G67" s="28" t="s">
        <v>8</v>
      </c>
      <c r="H67" s="28" t="s">
        <v>150</v>
      </c>
      <c r="I67" s="28" t="s">
        <v>165</v>
      </c>
      <c r="J67" s="28" t="s">
        <v>155</v>
      </c>
      <c r="K67" s="28">
        <v>80</v>
      </c>
      <c r="L67" s="28" t="s">
        <v>167</v>
      </c>
      <c r="M67" s="28"/>
      <c r="N67" s="32"/>
      <c r="O67" s="28">
        <v>10999</v>
      </c>
      <c r="P67" s="33" t="s">
        <v>115</v>
      </c>
      <c r="Q67" s="28" t="s">
        <v>195</v>
      </c>
      <c r="R67" s="34">
        <v>45616</v>
      </c>
      <c r="S67" s="34">
        <v>45581</v>
      </c>
      <c r="T67" s="28" t="s">
        <v>199</v>
      </c>
      <c r="U67" s="50" t="s">
        <v>228</v>
      </c>
    </row>
    <row r="68" spans="1:21" ht="20.100000000000001" customHeight="1" x14ac:dyDescent="0.25">
      <c r="A68" s="73">
        <v>67</v>
      </c>
      <c r="B68" s="31">
        <v>1670668</v>
      </c>
      <c r="C68" s="31">
        <v>1268695</v>
      </c>
      <c r="D68" s="52" t="s">
        <v>185</v>
      </c>
      <c r="E68" s="52" t="s">
        <v>186</v>
      </c>
      <c r="F68" s="28"/>
      <c r="G68" s="28" t="s">
        <v>8</v>
      </c>
      <c r="H68" s="28" t="s">
        <v>161</v>
      </c>
      <c r="I68" s="28" t="s">
        <v>164</v>
      </c>
      <c r="J68" s="28"/>
      <c r="K68" s="28"/>
      <c r="L68" s="28" t="s">
        <v>168</v>
      </c>
      <c r="M68" s="28" t="s">
        <v>172</v>
      </c>
      <c r="N68" s="32"/>
      <c r="O68" s="28">
        <v>21999</v>
      </c>
      <c r="P68" s="33" t="s">
        <v>115</v>
      </c>
      <c r="Q68" s="28" t="s">
        <v>195</v>
      </c>
      <c r="R68" s="34">
        <v>45616</v>
      </c>
      <c r="S68" s="34">
        <v>45584</v>
      </c>
      <c r="T68" s="28" t="s">
        <v>199</v>
      </c>
      <c r="U68" s="28" t="s">
        <v>228</v>
      </c>
    </row>
    <row r="69" spans="1:21" ht="20.100000000000001" customHeight="1" x14ac:dyDescent="0.3">
      <c r="A69" s="70">
        <v>68</v>
      </c>
      <c r="B69" s="29">
        <v>1416625</v>
      </c>
      <c r="C69" s="29">
        <v>1205197</v>
      </c>
      <c r="D69" s="20" t="s">
        <v>196</v>
      </c>
      <c r="E69" s="20" t="s">
        <v>144</v>
      </c>
      <c r="F69" s="20"/>
      <c r="G69" s="28" t="s">
        <v>8</v>
      </c>
      <c r="H69" s="28" t="s">
        <v>157</v>
      </c>
      <c r="I69" s="28" t="s">
        <v>187</v>
      </c>
      <c r="J69" s="20"/>
      <c r="K69" s="20"/>
      <c r="L69" s="20"/>
      <c r="M69" s="20"/>
      <c r="N69" s="21"/>
      <c r="O69" s="20">
        <v>7849</v>
      </c>
      <c r="P69" s="22">
        <v>6306</v>
      </c>
      <c r="Q69" s="28" t="s">
        <v>197</v>
      </c>
      <c r="R69" s="34">
        <v>45595</v>
      </c>
      <c r="S69" s="30">
        <v>45610</v>
      </c>
      <c r="T69" s="28" t="s">
        <v>28</v>
      </c>
      <c r="U69" s="28" t="s">
        <v>198</v>
      </c>
    </row>
    <row r="70" spans="1:21" ht="20.100000000000001" customHeight="1" x14ac:dyDescent="0.3">
      <c r="A70" s="32">
        <v>69</v>
      </c>
      <c r="B70" s="21"/>
      <c r="C70" s="21"/>
      <c r="D70" s="21" t="s">
        <v>83</v>
      </c>
      <c r="E70" s="21" t="s">
        <v>200</v>
      </c>
      <c r="F70" s="21"/>
      <c r="G70" s="21" t="s">
        <v>56</v>
      </c>
      <c r="H70" s="21" t="s">
        <v>150</v>
      </c>
      <c r="I70" s="21" t="s">
        <v>165</v>
      </c>
      <c r="J70" s="21" t="s">
        <v>155</v>
      </c>
      <c r="K70" s="21">
        <v>80</v>
      </c>
      <c r="L70" s="21" t="s">
        <v>167</v>
      </c>
      <c r="M70" s="21"/>
      <c r="N70" s="21"/>
      <c r="O70" s="21">
        <v>5074</v>
      </c>
      <c r="P70" s="24" t="s">
        <v>85</v>
      </c>
      <c r="Q70" s="26">
        <v>45556</v>
      </c>
      <c r="R70" s="26">
        <v>45570</v>
      </c>
      <c r="S70" s="26">
        <v>45577</v>
      </c>
      <c r="T70" s="28" t="s">
        <v>199</v>
      </c>
      <c r="U70" s="50" t="s">
        <v>228</v>
      </c>
    </row>
    <row r="71" spans="1:21" ht="20.100000000000001" customHeight="1" x14ac:dyDescent="0.3">
      <c r="A71" s="32">
        <v>70</v>
      </c>
      <c r="B71" s="21">
        <v>2514</v>
      </c>
      <c r="C71" s="21">
        <v>2514</v>
      </c>
      <c r="D71" s="21" t="s">
        <v>41</v>
      </c>
      <c r="E71" s="21" t="s">
        <v>42</v>
      </c>
      <c r="F71" s="21"/>
      <c r="G71" s="21" t="s">
        <v>43</v>
      </c>
      <c r="H71" s="21" t="s">
        <v>150</v>
      </c>
      <c r="I71" s="21" t="s">
        <v>165</v>
      </c>
      <c r="J71" s="21" t="s">
        <v>154</v>
      </c>
      <c r="K71" s="57">
        <v>100</v>
      </c>
      <c r="L71" s="21" t="s">
        <v>201</v>
      </c>
      <c r="M71" s="21"/>
      <c r="N71" s="21"/>
      <c r="O71" s="21">
        <v>6250</v>
      </c>
      <c r="P71" s="24" t="s">
        <v>85</v>
      </c>
      <c r="Q71" s="26">
        <v>45558</v>
      </c>
      <c r="R71" s="26">
        <v>45573</v>
      </c>
      <c r="S71" s="26">
        <v>45582</v>
      </c>
      <c r="T71" s="28" t="s">
        <v>199</v>
      </c>
      <c r="U71" s="50" t="s">
        <v>228</v>
      </c>
    </row>
    <row r="72" spans="1:21" ht="20.100000000000001" customHeight="1" x14ac:dyDescent="0.3">
      <c r="A72" s="32">
        <v>71</v>
      </c>
      <c r="B72" s="21">
        <v>2514</v>
      </c>
      <c r="C72" s="21">
        <v>2514</v>
      </c>
      <c r="D72" s="21" t="s">
        <v>41</v>
      </c>
      <c r="E72" s="21" t="s">
        <v>42</v>
      </c>
      <c r="F72" s="21"/>
      <c r="G72" s="21" t="s">
        <v>43</v>
      </c>
      <c r="H72" s="21" t="s">
        <v>150</v>
      </c>
      <c r="I72" s="21" t="s">
        <v>165</v>
      </c>
      <c r="J72" s="21" t="s">
        <v>154</v>
      </c>
      <c r="K72" s="57">
        <v>100</v>
      </c>
      <c r="L72" s="21" t="s">
        <v>201</v>
      </c>
      <c r="M72" s="21"/>
      <c r="N72" s="21"/>
      <c r="O72" s="21">
        <v>6250</v>
      </c>
      <c r="P72" s="24" t="s">
        <v>85</v>
      </c>
      <c r="Q72" s="26">
        <v>45558</v>
      </c>
      <c r="R72" s="26">
        <v>45573</v>
      </c>
      <c r="S72" s="26">
        <v>45582</v>
      </c>
      <c r="T72" s="28" t="s">
        <v>199</v>
      </c>
      <c r="U72" s="50" t="s">
        <v>228</v>
      </c>
    </row>
    <row r="73" spans="1:21" ht="20.100000000000001" customHeight="1" x14ac:dyDescent="0.3">
      <c r="A73" s="32">
        <v>72</v>
      </c>
      <c r="B73" s="21">
        <v>1706794</v>
      </c>
      <c r="C73" s="21">
        <v>1281428</v>
      </c>
      <c r="D73" s="21" t="s">
        <v>202</v>
      </c>
      <c r="E73" s="21" t="s">
        <v>42</v>
      </c>
      <c r="F73" s="21"/>
      <c r="G73" s="21" t="s">
        <v>8</v>
      </c>
      <c r="H73" s="21" t="s">
        <v>150</v>
      </c>
      <c r="I73" s="21" t="s">
        <v>153</v>
      </c>
      <c r="J73" s="21" t="s">
        <v>177</v>
      </c>
      <c r="K73" s="21">
        <v>120</v>
      </c>
      <c r="L73" s="21" t="s">
        <v>167</v>
      </c>
      <c r="M73" s="21"/>
      <c r="N73" s="21"/>
      <c r="O73" s="21">
        <v>8943</v>
      </c>
      <c r="P73" s="24">
        <v>9033</v>
      </c>
      <c r="Q73" s="26">
        <v>45561</v>
      </c>
      <c r="R73" s="26">
        <v>45606</v>
      </c>
      <c r="S73" s="26">
        <v>45575</v>
      </c>
      <c r="T73" s="28" t="s">
        <v>199</v>
      </c>
      <c r="U73" s="50" t="s">
        <v>228</v>
      </c>
    </row>
    <row r="74" spans="1:21" ht="20.100000000000001" customHeight="1" x14ac:dyDescent="0.3">
      <c r="A74" s="38">
        <v>73</v>
      </c>
      <c r="B74" s="10">
        <v>1704621</v>
      </c>
      <c r="C74" s="10">
        <v>1280197</v>
      </c>
      <c r="D74" s="10" t="s">
        <v>203</v>
      </c>
      <c r="E74" s="10" t="s">
        <v>204</v>
      </c>
      <c r="F74" s="10"/>
      <c r="G74" s="10" t="s">
        <v>8</v>
      </c>
      <c r="H74" s="10" t="s">
        <v>157</v>
      </c>
      <c r="I74" s="10" t="s">
        <v>189</v>
      </c>
      <c r="J74" s="10"/>
      <c r="K74" s="10"/>
      <c r="L74" s="10"/>
      <c r="M74" s="10"/>
      <c r="N74" s="5"/>
      <c r="O74" s="10">
        <v>8349</v>
      </c>
      <c r="P74" s="12">
        <v>8433</v>
      </c>
      <c r="Q74" s="27">
        <v>45561</v>
      </c>
      <c r="R74" s="27">
        <v>45606</v>
      </c>
      <c r="S74" s="10"/>
      <c r="T74" s="10"/>
      <c r="U74" s="8" t="s">
        <v>193</v>
      </c>
    </row>
    <row r="75" spans="1:21" ht="20.100000000000001" customHeight="1" x14ac:dyDescent="0.3">
      <c r="A75" s="32">
        <v>74</v>
      </c>
      <c r="B75" s="21">
        <v>240078066</v>
      </c>
      <c r="C75" s="21"/>
      <c r="D75" s="21" t="s">
        <v>31</v>
      </c>
      <c r="E75" s="21" t="s">
        <v>230</v>
      </c>
      <c r="F75" s="21"/>
      <c r="G75" s="21" t="s">
        <v>52</v>
      </c>
      <c r="H75" s="21" t="s">
        <v>205</v>
      </c>
      <c r="I75" s="21" t="s">
        <v>206</v>
      </c>
      <c r="J75" s="21"/>
      <c r="K75" s="21"/>
      <c r="L75" s="21"/>
      <c r="M75" s="21" t="s">
        <v>220</v>
      </c>
      <c r="N75" s="21"/>
      <c r="O75" s="21">
        <v>14950</v>
      </c>
      <c r="P75" s="24" t="s">
        <v>16</v>
      </c>
      <c r="Q75" s="26">
        <v>45561</v>
      </c>
      <c r="R75" s="26">
        <v>45579</v>
      </c>
      <c r="S75" s="34">
        <v>45578</v>
      </c>
      <c r="T75" s="28" t="s">
        <v>199</v>
      </c>
      <c r="U75" s="28" t="s">
        <v>198</v>
      </c>
    </row>
    <row r="76" spans="1:21" ht="20.100000000000001" customHeight="1" x14ac:dyDescent="0.2">
      <c r="A76" s="15">
        <v>75</v>
      </c>
      <c r="B76" s="48">
        <v>240077789</v>
      </c>
      <c r="C76" s="7"/>
      <c r="D76" s="7" t="s">
        <v>31</v>
      </c>
      <c r="E76" s="7"/>
      <c r="F76" s="7"/>
      <c r="G76" s="7" t="s">
        <v>52</v>
      </c>
      <c r="H76" s="7" t="s">
        <v>150</v>
      </c>
      <c r="I76" s="7" t="s">
        <v>165</v>
      </c>
      <c r="J76" s="7" t="s">
        <v>154</v>
      </c>
      <c r="K76" s="7">
        <v>100</v>
      </c>
      <c r="L76" s="7" t="s">
        <v>207</v>
      </c>
      <c r="M76" s="7"/>
      <c r="N76" s="7"/>
      <c r="O76" s="7">
        <v>9208</v>
      </c>
      <c r="P76" s="9">
        <v>9608</v>
      </c>
      <c r="Q76" s="13">
        <v>45561</v>
      </c>
      <c r="R76" s="13">
        <v>45579</v>
      </c>
      <c r="S76" s="7"/>
      <c r="T76" s="8"/>
      <c r="U76" s="8" t="s">
        <v>223</v>
      </c>
    </row>
    <row r="77" spans="1:21" ht="20.100000000000001" customHeight="1" x14ac:dyDescent="0.2">
      <c r="A77" s="32">
        <v>76</v>
      </c>
      <c r="B77" s="55">
        <v>240078390</v>
      </c>
      <c r="C77" s="21"/>
      <c r="D77" s="21" t="s">
        <v>31</v>
      </c>
      <c r="E77" s="21"/>
      <c r="F77" s="21"/>
      <c r="G77" s="21" t="s">
        <v>52</v>
      </c>
      <c r="H77" s="21" t="s">
        <v>150</v>
      </c>
      <c r="I77" s="21" t="s">
        <v>153</v>
      </c>
      <c r="J77" s="21" t="s">
        <v>156</v>
      </c>
      <c r="K77" s="21">
        <v>120</v>
      </c>
      <c r="L77" s="21" t="s">
        <v>167</v>
      </c>
      <c r="M77" s="21"/>
      <c r="N77" s="21"/>
      <c r="O77" s="21">
        <v>7433</v>
      </c>
      <c r="P77" s="24" t="s">
        <v>16</v>
      </c>
      <c r="Q77" s="26">
        <v>45564</v>
      </c>
      <c r="R77" s="26">
        <v>45585</v>
      </c>
      <c r="S77" s="34">
        <v>45586</v>
      </c>
      <c r="T77" s="28" t="s">
        <v>199</v>
      </c>
      <c r="U77" s="28" t="s">
        <v>198</v>
      </c>
    </row>
    <row r="78" spans="1:21" ht="20.100000000000001" customHeight="1" x14ac:dyDescent="0.3">
      <c r="A78" s="32">
        <v>77</v>
      </c>
      <c r="B78" s="21"/>
      <c r="C78" s="21"/>
      <c r="D78" s="21" t="s">
        <v>83</v>
      </c>
      <c r="E78" s="21" t="s">
        <v>200</v>
      </c>
      <c r="F78" s="21"/>
      <c r="G78" s="21" t="s">
        <v>56</v>
      </c>
      <c r="H78" s="21" t="s">
        <v>150</v>
      </c>
      <c r="I78" s="21" t="s">
        <v>153</v>
      </c>
      <c r="J78" s="21" t="s">
        <v>177</v>
      </c>
      <c r="K78" s="21">
        <v>120</v>
      </c>
      <c r="L78" s="21" t="s">
        <v>167</v>
      </c>
      <c r="M78" s="21"/>
      <c r="N78" s="21"/>
      <c r="O78" s="21">
        <v>4020</v>
      </c>
      <c r="P78" s="24" t="s">
        <v>85</v>
      </c>
      <c r="Q78" s="26">
        <v>45564</v>
      </c>
      <c r="R78" s="26">
        <v>45577</v>
      </c>
      <c r="S78" s="26">
        <v>45577</v>
      </c>
      <c r="T78" s="28" t="s">
        <v>199</v>
      </c>
      <c r="U78" s="50" t="s">
        <v>228</v>
      </c>
    </row>
    <row r="79" spans="1:21" ht="20.100000000000001" customHeight="1" x14ac:dyDescent="0.3">
      <c r="A79" s="32">
        <v>78</v>
      </c>
      <c r="B79" s="21"/>
      <c r="C79" s="21"/>
      <c r="D79" s="21" t="s">
        <v>210</v>
      </c>
      <c r="E79" s="21" t="s">
        <v>211</v>
      </c>
      <c r="F79" s="21"/>
      <c r="G79" s="21" t="s">
        <v>212</v>
      </c>
      <c r="H79" s="21" t="s">
        <v>150</v>
      </c>
      <c r="I79" s="21" t="s">
        <v>165</v>
      </c>
      <c r="J79" s="21" t="s">
        <v>213</v>
      </c>
      <c r="K79" s="21">
        <v>100</v>
      </c>
      <c r="L79" s="21" t="s">
        <v>214</v>
      </c>
      <c r="M79" s="21"/>
      <c r="N79" s="21"/>
      <c r="O79" s="21">
        <v>8544.9054400000005</v>
      </c>
      <c r="P79" s="24"/>
      <c r="Q79" s="26">
        <v>45566</v>
      </c>
      <c r="R79" s="26">
        <v>45574</v>
      </c>
      <c r="S79" s="26">
        <v>45574</v>
      </c>
      <c r="T79" s="21" t="s">
        <v>227</v>
      </c>
      <c r="U79" s="28" t="s">
        <v>198</v>
      </c>
    </row>
    <row r="80" spans="1:21" ht="20.100000000000001" customHeight="1" x14ac:dyDescent="0.4">
      <c r="A80" s="32">
        <v>79</v>
      </c>
      <c r="B80" s="21"/>
      <c r="C80" s="21"/>
      <c r="D80" s="21" t="s">
        <v>210</v>
      </c>
      <c r="E80" s="21" t="s">
        <v>211</v>
      </c>
      <c r="F80" s="21"/>
      <c r="G80" s="21" t="s">
        <v>212</v>
      </c>
      <c r="H80" s="21" t="s">
        <v>150</v>
      </c>
      <c r="I80" s="21" t="s">
        <v>151</v>
      </c>
      <c r="J80" s="21"/>
      <c r="K80" s="21"/>
      <c r="L80" s="21" t="s">
        <v>217</v>
      </c>
      <c r="M80" s="21" t="s">
        <v>218</v>
      </c>
      <c r="N80" s="21"/>
      <c r="O80" s="49">
        <v>4600</v>
      </c>
      <c r="P80" s="24"/>
      <c r="Q80" s="26">
        <v>45566</v>
      </c>
      <c r="R80" s="26">
        <v>45574</v>
      </c>
      <c r="S80" s="26">
        <v>45574</v>
      </c>
      <c r="T80" s="21" t="s">
        <v>227</v>
      </c>
      <c r="U80" s="28" t="s">
        <v>198</v>
      </c>
    </row>
    <row r="81" spans="1:21" ht="20.100000000000001" customHeight="1" x14ac:dyDescent="0.3">
      <c r="A81" s="32">
        <v>80</v>
      </c>
      <c r="B81" s="21"/>
      <c r="C81" s="21"/>
      <c r="D81" s="21" t="s">
        <v>210</v>
      </c>
      <c r="E81" s="21" t="s">
        <v>211</v>
      </c>
      <c r="F81" s="21"/>
      <c r="G81" s="21" t="s">
        <v>212</v>
      </c>
      <c r="H81" s="21" t="s">
        <v>205</v>
      </c>
      <c r="I81" s="21" t="s">
        <v>215</v>
      </c>
      <c r="J81" s="21"/>
      <c r="K81" s="21"/>
      <c r="L81" s="21" t="s">
        <v>168</v>
      </c>
      <c r="M81" s="21" t="s">
        <v>216</v>
      </c>
      <c r="N81" s="21"/>
      <c r="O81" s="21">
        <v>10000</v>
      </c>
      <c r="P81" s="24"/>
      <c r="Q81" s="26">
        <v>45566</v>
      </c>
      <c r="R81" s="26">
        <v>45574</v>
      </c>
      <c r="S81" s="26">
        <v>45574</v>
      </c>
      <c r="T81" s="21" t="s">
        <v>227</v>
      </c>
      <c r="U81" s="28" t="s">
        <v>198</v>
      </c>
    </row>
    <row r="82" spans="1:21" ht="20.100000000000001" customHeight="1" x14ac:dyDescent="0.3">
      <c r="A82" s="32">
        <v>81</v>
      </c>
      <c r="B82" s="21"/>
      <c r="C82" s="21"/>
      <c r="D82" s="21" t="s">
        <v>210</v>
      </c>
      <c r="E82" s="21" t="s">
        <v>211</v>
      </c>
      <c r="F82" s="21"/>
      <c r="G82" s="21" t="s">
        <v>212</v>
      </c>
      <c r="H82" s="21" t="s">
        <v>219</v>
      </c>
      <c r="I82" s="21"/>
      <c r="J82" s="21"/>
      <c r="K82" s="21"/>
      <c r="L82" s="21" t="s">
        <v>168</v>
      </c>
      <c r="M82" s="21" t="s">
        <v>220</v>
      </c>
      <c r="N82" s="21"/>
      <c r="O82" s="21"/>
      <c r="P82" s="24"/>
      <c r="Q82" s="26">
        <v>45566</v>
      </c>
      <c r="R82" s="26">
        <v>45574</v>
      </c>
      <c r="S82" s="26">
        <v>45574</v>
      </c>
      <c r="T82" s="21" t="s">
        <v>227</v>
      </c>
      <c r="U82" s="28" t="s">
        <v>198</v>
      </c>
    </row>
    <row r="83" spans="1:21" ht="20.100000000000001" customHeight="1" x14ac:dyDescent="0.3">
      <c r="A83" s="15">
        <v>82</v>
      </c>
      <c r="B83" s="7">
        <v>1282228</v>
      </c>
      <c r="C83" s="7">
        <v>1708226</v>
      </c>
      <c r="D83" s="7" t="s">
        <v>221</v>
      </c>
      <c r="E83" s="7" t="s">
        <v>222</v>
      </c>
      <c r="F83" s="7"/>
      <c r="G83" s="7" t="s">
        <v>8</v>
      </c>
      <c r="H83" s="7" t="s">
        <v>150</v>
      </c>
      <c r="I83" s="7" t="s">
        <v>151</v>
      </c>
      <c r="J83" s="7"/>
      <c r="K83" s="7"/>
      <c r="L83" s="7" t="s">
        <v>168</v>
      </c>
      <c r="M83" s="7" t="s">
        <v>168</v>
      </c>
      <c r="N83" s="7"/>
      <c r="O83" s="7">
        <v>8899</v>
      </c>
      <c r="P83" s="9">
        <v>8988</v>
      </c>
      <c r="Q83" s="13">
        <v>45568</v>
      </c>
      <c r="R83" s="13">
        <v>45613</v>
      </c>
      <c r="S83" s="7"/>
      <c r="T83" s="8"/>
      <c r="U83" s="8"/>
    </row>
    <row r="84" spans="1:21" ht="20.100000000000001" customHeight="1" x14ac:dyDescent="0.2">
      <c r="A84" s="32">
        <v>83</v>
      </c>
      <c r="B84" s="51">
        <v>240079328</v>
      </c>
      <c r="C84" s="21"/>
      <c r="D84" s="21" t="s">
        <v>31</v>
      </c>
      <c r="E84" s="21" t="s">
        <v>224</v>
      </c>
      <c r="F84" s="21"/>
      <c r="G84" s="21" t="s">
        <v>31</v>
      </c>
      <c r="H84" s="21" t="s">
        <v>225</v>
      </c>
      <c r="I84" s="21" t="s">
        <v>206</v>
      </c>
      <c r="J84" s="21"/>
      <c r="K84" s="21"/>
      <c r="L84" s="21" t="s">
        <v>207</v>
      </c>
      <c r="M84" s="21" t="s">
        <v>226</v>
      </c>
      <c r="N84" s="21"/>
      <c r="O84" s="21">
        <v>14550</v>
      </c>
      <c r="P84" s="24" t="s">
        <v>16</v>
      </c>
      <c r="Q84" s="26">
        <v>45573</v>
      </c>
      <c r="R84" s="26">
        <v>45594</v>
      </c>
      <c r="S84" s="44">
        <v>45595</v>
      </c>
      <c r="T84" s="28" t="s">
        <v>199</v>
      </c>
      <c r="U84" s="28" t="s">
        <v>198</v>
      </c>
    </row>
    <row r="85" spans="1:21" ht="20.100000000000001" customHeight="1" x14ac:dyDescent="0.2">
      <c r="A85" s="32">
        <v>84</v>
      </c>
      <c r="B85" s="51">
        <v>240078933</v>
      </c>
      <c r="C85" s="21"/>
      <c r="D85" s="21" t="s">
        <v>31</v>
      </c>
      <c r="E85" s="21" t="s">
        <v>229</v>
      </c>
      <c r="F85" s="21"/>
      <c r="G85" s="21" t="s">
        <v>52</v>
      </c>
      <c r="H85" s="21" t="s">
        <v>161</v>
      </c>
      <c r="I85" s="21" t="s">
        <v>206</v>
      </c>
      <c r="J85" s="21"/>
      <c r="K85" s="21"/>
      <c r="L85" s="21" t="s">
        <v>207</v>
      </c>
      <c r="M85" s="21" t="s">
        <v>226</v>
      </c>
      <c r="N85" s="21"/>
      <c r="O85" s="21">
        <v>14550</v>
      </c>
      <c r="P85" s="24" t="s">
        <v>16</v>
      </c>
      <c r="Q85" s="26">
        <v>45572</v>
      </c>
      <c r="R85" s="26">
        <v>45594</v>
      </c>
      <c r="S85" s="34">
        <v>45580</v>
      </c>
      <c r="T85" s="28" t="s">
        <v>199</v>
      </c>
      <c r="U85" s="28" t="s">
        <v>198</v>
      </c>
    </row>
    <row r="86" spans="1:21" ht="20.100000000000001" customHeight="1" x14ac:dyDescent="0.3">
      <c r="A86" s="32">
        <v>85</v>
      </c>
      <c r="B86" s="21">
        <v>240079517</v>
      </c>
      <c r="C86" s="21"/>
      <c r="D86" s="21" t="s">
        <v>31</v>
      </c>
      <c r="E86" s="21"/>
      <c r="F86" s="21"/>
      <c r="G86" s="21" t="s">
        <v>31</v>
      </c>
      <c r="H86" s="21" t="s">
        <v>225</v>
      </c>
      <c r="I86" s="21" t="s">
        <v>206</v>
      </c>
      <c r="J86" s="21"/>
      <c r="K86" s="21"/>
      <c r="L86" s="21" t="s">
        <v>207</v>
      </c>
      <c r="M86" s="21" t="s">
        <v>220</v>
      </c>
      <c r="N86" s="21"/>
      <c r="O86" s="21">
        <v>14550</v>
      </c>
      <c r="P86" s="24">
        <v>11495</v>
      </c>
      <c r="Q86" s="26">
        <v>45575</v>
      </c>
      <c r="R86" s="26">
        <v>45596</v>
      </c>
      <c r="S86" s="26">
        <v>45598</v>
      </c>
      <c r="T86" s="28" t="s">
        <v>199</v>
      </c>
      <c r="U86" s="28" t="s">
        <v>198</v>
      </c>
    </row>
    <row r="87" spans="1:21" ht="20.100000000000001" customHeight="1" x14ac:dyDescent="0.3">
      <c r="A87" s="32">
        <v>86</v>
      </c>
      <c r="B87" s="21">
        <v>1714623</v>
      </c>
      <c r="C87" s="21">
        <v>1284697</v>
      </c>
      <c r="D87" s="21" t="s">
        <v>231</v>
      </c>
      <c r="E87" s="21" t="s">
        <v>102</v>
      </c>
      <c r="F87" s="21"/>
      <c r="G87" s="21" t="s">
        <v>8</v>
      </c>
      <c r="H87" s="21" t="s">
        <v>150</v>
      </c>
      <c r="I87" s="21" t="s">
        <v>165</v>
      </c>
      <c r="J87" s="21" t="s">
        <v>232</v>
      </c>
      <c r="K87" s="21" t="s">
        <v>233</v>
      </c>
      <c r="L87" s="21" t="s">
        <v>234</v>
      </c>
      <c r="M87" s="21"/>
      <c r="N87" s="21"/>
      <c r="O87" s="21">
        <v>12899</v>
      </c>
      <c r="P87" s="24">
        <v>13028</v>
      </c>
      <c r="Q87" s="26">
        <v>45578</v>
      </c>
      <c r="R87" s="26">
        <v>45643</v>
      </c>
      <c r="S87" s="26">
        <v>45598</v>
      </c>
      <c r="T87" s="28" t="s">
        <v>199</v>
      </c>
      <c r="U87" s="28" t="s">
        <v>198</v>
      </c>
    </row>
    <row r="88" spans="1:21" ht="20.100000000000001" customHeight="1" x14ac:dyDescent="0.3">
      <c r="A88" s="32">
        <v>87</v>
      </c>
      <c r="B88" s="56">
        <v>1715473</v>
      </c>
      <c r="C88" s="56">
        <v>1285152</v>
      </c>
      <c r="D88" s="21" t="s">
        <v>235</v>
      </c>
      <c r="E88" s="21" t="s">
        <v>49</v>
      </c>
      <c r="F88" s="21"/>
      <c r="G88" s="21" t="s">
        <v>8</v>
      </c>
      <c r="H88" s="21" t="s">
        <v>150</v>
      </c>
      <c r="I88" s="21" t="s">
        <v>165</v>
      </c>
      <c r="J88" s="21" t="s">
        <v>155</v>
      </c>
      <c r="K88" s="57">
        <v>80</v>
      </c>
      <c r="L88" s="21" t="s">
        <v>167</v>
      </c>
      <c r="M88" s="21"/>
      <c r="N88" s="21"/>
      <c r="O88" s="21">
        <v>10499</v>
      </c>
      <c r="P88" s="24" t="s">
        <v>16</v>
      </c>
      <c r="Q88" s="26">
        <v>45581</v>
      </c>
      <c r="R88" s="26">
        <v>45645</v>
      </c>
      <c r="S88" s="34">
        <v>45586</v>
      </c>
      <c r="T88" s="28" t="s">
        <v>199</v>
      </c>
      <c r="U88" s="28" t="s">
        <v>198</v>
      </c>
    </row>
    <row r="89" spans="1:21" ht="20.100000000000001" customHeight="1" x14ac:dyDescent="0.3">
      <c r="A89" s="32">
        <v>89</v>
      </c>
      <c r="B89" s="21">
        <v>1715992</v>
      </c>
      <c r="C89" s="21">
        <v>1285423</v>
      </c>
      <c r="D89" s="21" t="s">
        <v>237</v>
      </c>
      <c r="E89" s="21" t="s">
        <v>238</v>
      </c>
      <c r="F89" s="21"/>
      <c r="G89" s="21" t="s">
        <v>8</v>
      </c>
      <c r="H89" s="21" t="s">
        <v>150</v>
      </c>
      <c r="I89" s="21" t="s">
        <v>165</v>
      </c>
      <c r="J89" s="21" t="s">
        <v>152</v>
      </c>
      <c r="K89" s="21" t="s">
        <v>239</v>
      </c>
      <c r="L89" s="21" t="s">
        <v>234</v>
      </c>
      <c r="M89" s="21"/>
      <c r="N89" s="21"/>
      <c r="O89" s="21">
        <v>12899</v>
      </c>
      <c r="P89" s="24" t="s">
        <v>16</v>
      </c>
      <c r="Q89" s="26">
        <v>45582</v>
      </c>
      <c r="R89" s="26">
        <v>45648</v>
      </c>
      <c r="S89" s="26">
        <v>45629</v>
      </c>
      <c r="T89" s="28" t="s">
        <v>28</v>
      </c>
      <c r="U89" s="28" t="s">
        <v>228</v>
      </c>
    </row>
    <row r="90" spans="1:21" ht="20.100000000000001" customHeight="1" x14ac:dyDescent="0.3">
      <c r="A90" s="32">
        <v>90</v>
      </c>
      <c r="B90" s="21" t="s">
        <v>241</v>
      </c>
      <c r="C90" s="29"/>
      <c r="D90" s="21" t="s">
        <v>240</v>
      </c>
      <c r="E90" s="21" t="s">
        <v>242</v>
      </c>
      <c r="F90" s="21">
        <v>1211691428</v>
      </c>
      <c r="G90" s="21" t="s">
        <v>243</v>
      </c>
      <c r="H90" s="21" t="s">
        <v>150</v>
      </c>
      <c r="I90" s="21" t="s">
        <v>153</v>
      </c>
      <c r="J90" s="21" t="s">
        <v>244</v>
      </c>
      <c r="K90" s="21">
        <v>140</v>
      </c>
      <c r="L90" s="21" t="s">
        <v>220</v>
      </c>
      <c r="M90" s="21" t="s">
        <v>245</v>
      </c>
      <c r="N90" s="21"/>
      <c r="O90" s="21">
        <v>5135</v>
      </c>
      <c r="P90" s="24" t="s">
        <v>16</v>
      </c>
      <c r="Q90" s="26">
        <v>45585</v>
      </c>
      <c r="R90" s="26">
        <v>45613</v>
      </c>
      <c r="S90" s="26">
        <v>45610</v>
      </c>
      <c r="T90" s="28" t="s">
        <v>199</v>
      </c>
      <c r="U90" s="28" t="s">
        <v>198</v>
      </c>
    </row>
    <row r="91" spans="1:21" ht="20.100000000000001" customHeight="1" x14ac:dyDescent="0.3">
      <c r="A91" s="32">
        <v>91</v>
      </c>
      <c r="B91" s="21">
        <v>240080607</v>
      </c>
      <c r="C91" s="21"/>
      <c r="D91" s="21" t="s">
        <v>31</v>
      </c>
      <c r="E91" s="21" t="s">
        <v>204</v>
      </c>
      <c r="F91" s="21"/>
      <c r="G91" s="21" t="s">
        <v>52</v>
      </c>
      <c r="H91" s="21" t="s">
        <v>150</v>
      </c>
      <c r="I91" s="21" t="s">
        <v>165</v>
      </c>
      <c r="J91" s="21" t="s">
        <v>246</v>
      </c>
      <c r="K91" s="21">
        <v>100</v>
      </c>
      <c r="L91" s="21" t="s">
        <v>247</v>
      </c>
      <c r="M91" s="21"/>
      <c r="N91" s="21"/>
      <c r="O91" s="21">
        <v>12777.5</v>
      </c>
      <c r="P91" s="24">
        <v>11277.5</v>
      </c>
      <c r="Q91" s="26">
        <v>45587</v>
      </c>
      <c r="R91" s="26">
        <v>45608</v>
      </c>
      <c r="S91" s="26">
        <v>45614</v>
      </c>
      <c r="T91" s="28" t="s">
        <v>199</v>
      </c>
      <c r="U91" s="28" t="s">
        <v>198</v>
      </c>
    </row>
    <row r="92" spans="1:21" ht="20.100000000000001" customHeight="1" x14ac:dyDescent="0.3">
      <c r="A92" s="32">
        <v>92</v>
      </c>
      <c r="B92" s="21">
        <v>240080607</v>
      </c>
      <c r="C92" s="21"/>
      <c r="D92" s="21" t="s">
        <v>31</v>
      </c>
      <c r="E92" s="21" t="s">
        <v>204</v>
      </c>
      <c r="F92" s="21"/>
      <c r="G92" s="21" t="s">
        <v>52</v>
      </c>
      <c r="H92" s="21" t="s">
        <v>150</v>
      </c>
      <c r="I92" s="21" t="s">
        <v>165</v>
      </c>
      <c r="J92" s="21" t="s">
        <v>246</v>
      </c>
      <c r="K92" s="21">
        <v>100</v>
      </c>
      <c r="L92" s="21" t="s">
        <v>247</v>
      </c>
      <c r="M92" s="21"/>
      <c r="N92" s="21"/>
      <c r="O92" s="21">
        <v>12777.5</v>
      </c>
      <c r="P92" s="24">
        <v>11277.5</v>
      </c>
      <c r="Q92" s="26">
        <v>45587</v>
      </c>
      <c r="R92" s="26">
        <v>45608</v>
      </c>
      <c r="S92" s="26">
        <v>45614</v>
      </c>
      <c r="T92" s="28" t="s">
        <v>199</v>
      </c>
      <c r="U92" s="28" t="s">
        <v>198</v>
      </c>
    </row>
    <row r="93" spans="1:21" ht="20.100000000000001" customHeight="1" x14ac:dyDescent="0.3">
      <c r="A93" s="15">
        <v>93</v>
      </c>
      <c r="B93" s="7"/>
      <c r="C93" s="7"/>
      <c r="D93" s="7" t="s">
        <v>83</v>
      </c>
      <c r="E93" s="7" t="s">
        <v>248</v>
      </c>
      <c r="F93" s="7"/>
      <c r="G93" s="7" t="s">
        <v>56</v>
      </c>
      <c r="H93" s="7" t="s">
        <v>150</v>
      </c>
      <c r="I93" s="7" t="s">
        <v>165</v>
      </c>
      <c r="J93" s="7" t="s">
        <v>246</v>
      </c>
      <c r="K93" s="7">
        <v>100</v>
      </c>
      <c r="L93" s="7" t="s">
        <v>247</v>
      </c>
      <c r="M93" s="7"/>
      <c r="N93" s="7"/>
      <c r="O93" s="7">
        <v>8544.91</v>
      </c>
      <c r="P93" s="9" t="s">
        <v>85</v>
      </c>
      <c r="Q93" s="13">
        <v>45587</v>
      </c>
      <c r="R93" s="7" t="s">
        <v>249</v>
      </c>
      <c r="S93" s="7"/>
      <c r="T93" s="8"/>
      <c r="U93" s="8" t="s">
        <v>274</v>
      </c>
    </row>
    <row r="94" spans="1:21" ht="20.100000000000001" customHeight="1" x14ac:dyDescent="0.3">
      <c r="A94" s="32">
        <v>94</v>
      </c>
      <c r="B94" s="21">
        <v>1717458</v>
      </c>
      <c r="C94" s="21">
        <v>1286189</v>
      </c>
      <c r="D94" s="21" t="s">
        <v>250</v>
      </c>
      <c r="E94" s="21" t="s">
        <v>251</v>
      </c>
      <c r="F94" s="21"/>
      <c r="G94" s="21" t="s">
        <v>8</v>
      </c>
      <c r="H94" s="21" t="s">
        <v>150</v>
      </c>
      <c r="I94" s="21" t="s">
        <v>153</v>
      </c>
      <c r="J94" s="21" t="s">
        <v>177</v>
      </c>
      <c r="K94" s="21">
        <v>120</v>
      </c>
      <c r="L94" s="21" t="s">
        <v>167</v>
      </c>
      <c r="M94" s="21"/>
      <c r="N94" s="21"/>
      <c r="O94" s="21">
        <v>8943</v>
      </c>
      <c r="P94" s="24">
        <v>9007.01</v>
      </c>
      <c r="Q94" s="26">
        <v>45586</v>
      </c>
      <c r="R94" s="26">
        <v>45610</v>
      </c>
      <c r="S94" s="26">
        <v>45614</v>
      </c>
      <c r="T94" s="28" t="s">
        <v>199</v>
      </c>
      <c r="U94" s="28" t="s">
        <v>198</v>
      </c>
    </row>
    <row r="95" spans="1:21" ht="20.100000000000001" customHeight="1" x14ac:dyDescent="0.2">
      <c r="A95" s="32">
        <v>95</v>
      </c>
      <c r="B95" s="60">
        <v>240080858</v>
      </c>
      <c r="C95" s="21"/>
      <c r="D95" s="21" t="s">
        <v>31</v>
      </c>
      <c r="E95" s="21"/>
      <c r="F95" s="21"/>
      <c r="G95" s="21" t="s">
        <v>52</v>
      </c>
      <c r="H95" s="21" t="s">
        <v>205</v>
      </c>
      <c r="I95" s="21" t="s">
        <v>206</v>
      </c>
      <c r="J95" s="21"/>
      <c r="K95" s="21"/>
      <c r="L95" s="21" t="s">
        <v>168</v>
      </c>
      <c r="M95" s="21"/>
      <c r="N95" s="21"/>
      <c r="O95" s="21">
        <v>15516</v>
      </c>
      <c r="P95" s="24" t="s">
        <v>16</v>
      </c>
      <c r="Q95" s="26">
        <v>45589</v>
      </c>
      <c r="R95" s="26">
        <v>45610</v>
      </c>
      <c r="S95" s="44">
        <v>45595</v>
      </c>
      <c r="T95" s="28" t="s">
        <v>199</v>
      </c>
      <c r="U95" s="28" t="s">
        <v>198</v>
      </c>
    </row>
    <row r="96" spans="1:21" ht="20.100000000000001" customHeight="1" x14ac:dyDescent="0.2">
      <c r="A96" s="15">
        <v>96</v>
      </c>
      <c r="B96" s="61">
        <v>240081061</v>
      </c>
      <c r="C96" s="7"/>
      <c r="D96" s="7" t="s">
        <v>31</v>
      </c>
      <c r="E96" s="7"/>
      <c r="F96" s="7"/>
      <c r="G96" s="7" t="s">
        <v>52</v>
      </c>
      <c r="H96" s="7" t="s">
        <v>150</v>
      </c>
      <c r="I96" s="7" t="s">
        <v>165</v>
      </c>
      <c r="J96" s="7" t="s">
        <v>154</v>
      </c>
      <c r="K96" s="7">
        <v>100</v>
      </c>
      <c r="L96" s="7" t="s">
        <v>168</v>
      </c>
      <c r="M96" s="7"/>
      <c r="N96" s="7"/>
      <c r="O96" s="7">
        <v>10045</v>
      </c>
      <c r="P96" s="9">
        <v>8879</v>
      </c>
      <c r="Q96" s="13">
        <v>45591</v>
      </c>
      <c r="R96" s="13">
        <v>45612</v>
      </c>
      <c r="S96" s="13"/>
      <c r="T96" s="8"/>
      <c r="U96" s="8" t="s">
        <v>236</v>
      </c>
    </row>
    <row r="97" spans="1:21" ht="20.100000000000001" customHeight="1" x14ac:dyDescent="0.3">
      <c r="A97" s="32">
        <v>97</v>
      </c>
      <c r="B97" s="56">
        <v>1718948</v>
      </c>
      <c r="C97" s="56">
        <v>1286883</v>
      </c>
      <c r="D97" s="21" t="s">
        <v>131</v>
      </c>
      <c r="E97" s="21" t="s">
        <v>252</v>
      </c>
      <c r="F97" s="21"/>
      <c r="G97" s="21" t="s">
        <v>8</v>
      </c>
      <c r="H97" s="21" t="s">
        <v>150</v>
      </c>
      <c r="I97" s="21" t="s">
        <v>165</v>
      </c>
      <c r="J97" s="21" t="s">
        <v>154</v>
      </c>
      <c r="K97" s="21">
        <v>90</v>
      </c>
      <c r="L97" s="21" t="s">
        <v>168</v>
      </c>
      <c r="M97" s="21"/>
      <c r="N97" s="21"/>
      <c r="O97" s="21">
        <v>11649</v>
      </c>
      <c r="P97" s="24">
        <v>11749</v>
      </c>
      <c r="Q97" s="26">
        <v>45591</v>
      </c>
      <c r="R97" s="26">
        <v>45606</v>
      </c>
      <c r="S97" s="26">
        <v>45614</v>
      </c>
      <c r="T97" s="28" t="s">
        <v>199</v>
      </c>
      <c r="U97" s="28" t="s">
        <v>198</v>
      </c>
    </row>
    <row r="98" spans="1:21" ht="20.100000000000001" customHeight="1" x14ac:dyDescent="0.3">
      <c r="A98" s="32">
        <v>98</v>
      </c>
      <c r="B98" s="56">
        <v>1718949</v>
      </c>
      <c r="C98" s="56">
        <v>1286883</v>
      </c>
      <c r="D98" s="21" t="s">
        <v>131</v>
      </c>
      <c r="E98" s="21" t="s">
        <v>252</v>
      </c>
      <c r="F98" s="21"/>
      <c r="G98" s="21" t="s">
        <v>8</v>
      </c>
      <c r="H98" s="21" t="s">
        <v>150</v>
      </c>
      <c r="I98" s="21" t="s">
        <v>165</v>
      </c>
      <c r="J98" s="21" t="s">
        <v>154</v>
      </c>
      <c r="K98" s="21">
        <v>90</v>
      </c>
      <c r="L98" s="21" t="s">
        <v>168</v>
      </c>
      <c r="M98" s="21"/>
      <c r="N98" s="21"/>
      <c r="O98" s="21">
        <v>11649</v>
      </c>
      <c r="P98" s="24">
        <v>11749</v>
      </c>
      <c r="Q98" s="26">
        <v>45591</v>
      </c>
      <c r="R98" s="26">
        <v>45606</v>
      </c>
      <c r="S98" s="26">
        <v>45614</v>
      </c>
      <c r="T98" s="28" t="s">
        <v>199</v>
      </c>
      <c r="U98" s="28" t="s">
        <v>198</v>
      </c>
    </row>
    <row r="99" spans="1:21" ht="20.100000000000001" customHeight="1" x14ac:dyDescent="0.3">
      <c r="A99" s="32">
        <v>99</v>
      </c>
      <c r="B99" s="21"/>
      <c r="C99" s="21"/>
      <c r="D99" s="21" t="s">
        <v>253</v>
      </c>
      <c r="E99" s="21" t="s">
        <v>107</v>
      </c>
      <c r="F99" s="21"/>
      <c r="G99" s="21" t="s">
        <v>254</v>
      </c>
      <c r="H99" s="21" t="s">
        <v>150</v>
      </c>
      <c r="I99" s="21" t="s">
        <v>153</v>
      </c>
      <c r="J99" s="21" t="s">
        <v>156</v>
      </c>
      <c r="K99" s="21">
        <v>100</v>
      </c>
      <c r="L99" s="21" t="s">
        <v>167</v>
      </c>
      <c r="M99" s="21"/>
      <c r="N99" s="21"/>
      <c r="O99" s="21" t="s">
        <v>255</v>
      </c>
      <c r="P99" s="24">
        <v>4800</v>
      </c>
      <c r="Q99" s="26">
        <v>45593</v>
      </c>
      <c r="R99" s="26">
        <v>45607</v>
      </c>
      <c r="S99" s="26">
        <v>45617</v>
      </c>
      <c r="T99" s="28" t="s">
        <v>199</v>
      </c>
      <c r="U99" s="28" t="s">
        <v>198</v>
      </c>
    </row>
    <row r="100" spans="1:21" ht="20.100000000000001" customHeight="1" x14ac:dyDescent="0.3">
      <c r="A100" s="32">
        <v>100</v>
      </c>
      <c r="B100" s="21"/>
      <c r="C100" s="21"/>
      <c r="D100" s="21" t="s">
        <v>253</v>
      </c>
      <c r="E100" s="21" t="s">
        <v>107</v>
      </c>
      <c r="F100" s="21"/>
      <c r="G100" s="21" t="s">
        <v>254</v>
      </c>
      <c r="H100" s="21" t="s">
        <v>150</v>
      </c>
      <c r="I100" s="21" t="s">
        <v>153</v>
      </c>
      <c r="J100" s="21" t="s">
        <v>156</v>
      </c>
      <c r="K100" s="21">
        <v>120</v>
      </c>
      <c r="L100" s="21" t="s">
        <v>167</v>
      </c>
      <c r="M100" s="21"/>
      <c r="N100" s="21"/>
      <c r="O100" s="21" t="s">
        <v>256</v>
      </c>
      <c r="P100" s="24">
        <v>4800</v>
      </c>
      <c r="Q100" s="26">
        <v>45593</v>
      </c>
      <c r="R100" s="26">
        <v>45607</v>
      </c>
      <c r="S100" s="26">
        <v>45617</v>
      </c>
      <c r="T100" s="28" t="s">
        <v>199</v>
      </c>
      <c r="U100" s="28" t="s">
        <v>198</v>
      </c>
    </row>
    <row r="101" spans="1:21" ht="20.100000000000001" customHeight="1" x14ac:dyDescent="0.3">
      <c r="A101" s="32">
        <v>101</v>
      </c>
      <c r="B101" s="56">
        <v>1744766</v>
      </c>
      <c r="C101" s="56">
        <v>1298738</v>
      </c>
      <c r="D101" s="21" t="s">
        <v>257</v>
      </c>
      <c r="E101" s="21" t="s">
        <v>264</v>
      </c>
      <c r="F101" s="21"/>
      <c r="G101" s="21" t="s">
        <v>8</v>
      </c>
      <c r="H101" s="21" t="s">
        <v>150</v>
      </c>
      <c r="I101" s="21" t="s">
        <v>165</v>
      </c>
      <c r="J101" s="21" t="s">
        <v>155</v>
      </c>
      <c r="K101" s="21">
        <v>80</v>
      </c>
      <c r="L101" s="21" t="s">
        <v>167</v>
      </c>
      <c r="M101" s="21"/>
      <c r="N101" s="21"/>
      <c r="O101" s="21">
        <v>12099</v>
      </c>
      <c r="P101" s="24" t="s">
        <v>16</v>
      </c>
      <c r="Q101" s="26">
        <v>45607</v>
      </c>
      <c r="R101" s="26">
        <v>45622</v>
      </c>
      <c r="S101" s="26">
        <v>45623</v>
      </c>
      <c r="T101" s="28" t="s">
        <v>199</v>
      </c>
      <c r="U101" s="28" t="s">
        <v>198</v>
      </c>
    </row>
    <row r="102" spans="1:21" ht="20.100000000000001" customHeight="1" x14ac:dyDescent="0.2">
      <c r="A102" s="32">
        <v>102</v>
      </c>
      <c r="B102" s="63">
        <v>240082226</v>
      </c>
      <c r="C102" s="21"/>
      <c r="D102" s="21" t="s">
        <v>52</v>
      </c>
      <c r="E102" s="21" t="s">
        <v>224</v>
      </c>
      <c r="F102" s="21"/>
      <c r="G102" s="21" t="s">
        <v>52</v>
      </c>
      <c r="H102" s="21" t="s">
        <v>205</v>
      </c>
      <c r="I102" s="21" t="s">
        <v>206</v>
      </c>
      <c r="J102" s="21" t="s">
        <v>258</v>
      </c>
      <c r="K102" s="21"/>
      <c r="L102" s="21" t="s">
        <v>207</v>
      </c>
      <c r="M102" s="21" t="s">
        <v>259</v>
      </c>
      <c r="N102" s="21"/>
      <c r="O102" s="21">
        <v>15872</v>
      </c>
      <c r="P102" s="24" t="s">
        <v>260</v>
      </c>
      <c r="Q102" s="26">
        <v>45604</v>
      </c>
      <c r="R102" s="21" t="s">
        <v>261</v>
      </c>
      <c r="S102" s="26">
        <v>45610</v>
      </c>
      <c r="T102" s="28" t="s">
        <v>199</v>
      </c>
      <c r="U102" s="28" t="s">
        <v>198</v>
      </c>
    </row>
    <row r="103" spans="1:21" ht="20.100000000000001" customHeight="1" x14ac:dyDescent="0.3">
      <c r="A103" s="32">
        <v>103</v>
      </c>
      <c r="B103" s="21" t="s">
        <v>262</v>
      </c>
      <c r="C103" s="21"/>
      <c r="D103" s="21" t="s">
        <v>263</v>
      </c>
      <c r="E103" s="21" t="s">
        <v>34</v>
      </c>
      <c r="F103" s="21"/>
      <c r="G103" s="21" t="s">
        <v>263</v>
      </c>
      <c r="H103" s="21" t="s">
        <v>150</v>
      </c>
      <c r="I103" s="21" t="s">
        <v>153</v>
      </c>
      <c r="J103" s="21" t="s">
        <v>177</v>
      </c>
      <c r="K103" s="21">
        <v>120</v>
      </c>
      <c r="L103" s="21" t="s">
        <v>167</v>
      </c>
      <c r="M103" s="21"/>
      <c r="N103" s="21"/>
      <c r="O103" s="21">
        <v>4520</v>
      </c>
      <c r="P103" s="24" t="s">
        <v>85</v>
      </c>
      <c r="Q103" s="26">
        <v>45606</v>
      </c>
      <c r="R103" s="26">
        <v>45618</v>
      </c>
      <c r="S103" s="26">
        <v>45617</v>
      </c>
      <c r="T103" s="28" t="s">
        <v>199</v>
      </c>
      <c r="U103" s="28" t="s">
        <v>198</v>
      </c>
    </row>
    <row r="104" spans="1:21" ht="20.100000000000001" customHeight="1" x14ac:dyDescent="0.3">
      <c r="A104" s="32">
        <v>104</v>
      </c>
      <c r="B104" s="21" t="s">
        <v>265</v>
      </c>
      <c r="C104" s="21"/>
      <c r="D104" s="21" t="s">
        <v>83</v>
      </c>
      <c r="E104" s="21" t="s">
        <v>200</v>
      </c>
      <c r="F104" s="21"/>
      <c r="G104" s="21" t="s">
        <v>56</v>
      </c>
      <c r="H104" s="21" t="s">
        <v>150</v>
      </c>
      <c r="I104" s="21" t="s">
        <v>165</v>
      </c>
      <c r="J104" s="21" t="s">
        <v>154</v>
      </c>
      <c r="K104" s="21">
        <v>90</v>
      </c>
      <c r="L104" s="21" t="s">
        <v>168</v>
      </c>
      <c r="M104" s="21"/>
      <c r="N104" s="21"/>
      <c r="O104" s="21">
        <v>5766</v>
      </c>
      <c r="P104" s="24" t="s">
        <v>85</v>
      </c>
      <c r="Q104" s="26">
        <v>45608</v>
      </c>
      <c r="R104" s="26">
        <v>45622</v>
      </c>
      <c r="S104" s="26">
        <v>45621</v>
      </c>
      <c r="T104" s="28" t="s">
        <v>199</v>
      </c>
      <c r="U104" s="28" t="s">
        <v>198</v>
      </c>
    </row>
    <row r="105" spans="1:21" ht="20.100000000000001" customHeight="1" x14ac:dyDescent="0.3">
      <c r="A105" s="32">
        <v>105</v>
      </c>
      <c r="B105" s="56">
        <v>1752544</v>
      </c>
      <c r="C105" s="56">
        <v>1302011</v>
      </c>
      <c r="D105" s="21" t="s">
        <v>266</v>
      </c>
      <c r="E105" s="21" t="s">
        <v>107</v>
      </c>
      <c r="F105" s="21"/>
      <c r="G105" s="21" t="s">
        <v>8</v>
      </c>
      <c r="H105" s="21" t="s">
        <v>150</v>
      </c>
      <c r="I105" s="21" t="s">
        <v>153</v>
      </c>
      <c r="J105" s="21" t="s">
        <v>177</v>
      </c>
      <c r="K105" s="21">
        <v>160</v>
      </c>
      <c r="L105" s="21" t="s">
        <v>173</v>
      </c>
      <c r="M105" s="21"/>
      <c r="N105" s="21"/>
      <c r="O105" s="21">
        <v>11395</v>
      </c>
      <c r="P105" s="24" t="s">
        <v>16</v>
      </c>
      <c r="Q105" s="26">
        <v>45608</v>
      </c>
      <c r="R105" s="26">
        <v>45620</v>
      </c>
      <c r="S105" s="26">
        <v>45623</v>
      </c>
      <c r="T105" s="28" t="s">
        <v>199</v>
      </c>
      <c r="U105" s="28" t="s">
        <v>198</v>
      </c>
    </row>
    <row r="106" spans="1:21" ht="20.100000000000001" customHeight="1" x14ac:dyDescent="0.3">
      <c r="A106" s="32">
        <v>106</v>
      </c>
      <c r="B106" s="56">
        <v>1755075</v>
      </c>
      <c r="C106" s="56">
        <v>1303159</v>
      </c>
      <c r="D106" s="21" t="s">
        <v>267</v>
      </c>
      <c r="E106" s="21" t="s">
        <v>34</v>
      </c>
      <c r="F106" s="21"/>
      <c r="G106" s="21" t="s">
        <v>8</v>
      </c>
      <c r="H106" s="21" t="s">
        <v>150</v>
      </c>
      <c r="I106" s="21" t="s">
        <v>165</v>
      </c>
      <c r="J106" s="21" t="s">
        <v>268</v>
      </c>
      <c r="K106" s="21">
        <v>80</v>
      </c>
      <c r="L106" s="21" t="s">
        <v>167</v>
      </c>
      <c r="M106" s="21"/>
      <c r="N106" s="21"/>
      <c r="O106" s="21">
        <v>12919</v>
      </c>
      <c r="P106" s="24" t="s">
        <v>16</v>
      </c>
      <c r="Q106" s="26">
        <v>45610</v>
      </c>
      <c r="R106" s="26">
        <v>45626</v>
      </c>
      <c r="S106" s="26">
        <v>45623</v>
      </c>
      <c r="T106" s="28" t="s">
        <v>199</v>
      </c>
      <c r="U106" s="28" t="s">
        <v>198</v>
      </c>
    </row>
    <row r="107" spans="1:21" ht="20.100000000000001" customHeight="1" x14ac:dyDescent="0.3">
      <c r="A107" s="32">
        <v>107</v>
      </c>
      <c r="B107" s="21" t="s">
        <v>269</v>
      </c>
      <c r="C107" s="21"/>
      <c r="D107" s="21" t="s">
        <v>83</v>
      </c>
      <c r="E107" s="21" t="s">
        <v>200</v>
      </c>
      <c r="F107" s="21"/>
      <c r="G107" s="21" t="s">
        <v>56</v>
      </c>
      <c r="H107" s="21" t="s">
        <v>270</v>
      </c>
      <c r="I107" s="21" t="s">
        <v>165</v>
      </c>
      <c r="J107" s="21" t="s">
        <v>152</v>
      </c>
      <c r="K107" s="21">
        <v>120</v>
      </c>
      <c r="L107" s="21" t="s">
        <v>172</v>
      </c>
      <c r="M107" s="21"/>
      <c r="N107" s="21"/>
      <c r="O107" s="21">
        <v>6376</v>
      </c>
      <c r="P107" s="24" t="s">
        <v>85</v>
      </c>
      <c r="Q107" s="26">
        <v>45610</v>
      </c>
      <c r="R107" s="26">
        <v>45623</v>
      </c>
      <c r="S107" s="26">
        <v>45621</v>
      </c>
      <c r="T107" s="28" t="s">
        <v>199</v>
      </c>
      <c r="U107" s="28" t="s">
        <v>198</v>
      </c>
    </row>
    <row r="108" spans="1:21" ht="20.100000000000001" customHeight="1" x14ac:dyDescent="0.3">
      <c r="A108" s="32">
        <v>108</v>
      </c>
      <c r="B108" s="21" t="s">
        <v>271</v>
      </c>
      <c r="C108" s="21"/>
      <c r="D108" s="21" t="s">
        <v>83</v>
      </c>
      <c r="E108" s="21" t="s">
        <v>272</v>
      </c>
      <c r="F108" s="21"/>
      <c r="G108" s="21" t="s">
        <v>56</v>
      </c>
      <c r="H108" s="21" t="s">
        <v>150</v>
      </c>
      <c r="I108" s="21" t="s">
        <v>273</v>
      </c>
      <c r="J108" s="21" t="s">
        <v>152</v>
      </c>
      <c r="K108" s="21">
        <v>90</v>
      </c>
      <c r="L108" s="21" t="s">
        <v>168</v>
      </c>
      <c r="M108" s="21"/>
      <c r="N108" s="21"/>
      <c r="O108" s="21">
        <v>5294</v>
      </c>
      <c r="P108" s="24" t="s">
        <v>85</v>
      </c>
      <c r="Q108" s="26">
        <v>45610</v>
      </c>
      <c r="R108" s="26">
        <v>45623</v>
      </c>
      <c r="S108" s="26">
        <v>45621</v>
      </c>
      <c r="T108" s="28" t="s">
        <v>199</v>
      </c>
      <c r="U108" s="28" t="s">
        <v>198</v>
      </c>
    </row>
    <row r="109" spans="1:21" ht="20.100000000000001" customHeight="1" x14ac:dyDescent="0.25">
      <c r="A109" s="32">
        <v>109</v>
      </c>
      <c r="B109" s="64">
        <v>265453625</v>
      </c>
      <c r="C109" s="21"/>
      <c r="D109" s="21" t="s">
        <v>275</v>
      </c>
      <c r="E109" s="21" t="s">
        <v>39</v>
      </c>
      <c r="F109" s="64">
        <v>1277038843</v>
      </c>
      <c r="G109" s="21" t="s">
        <v>276</v>
      </c>
      <c r="H109" s="21" t="s">
        <v>270</v>
      </c>
      <c r="I109" s="21" t="s">
        <v>273</v>
      </c>
      <c r="J109" s="21" t="s">
        <v>277</v>
      </c>
      <c r="K109" s="21">
        <v>80</v>
      </c>
      <c r="L109" s="21" t="s">
        <v>167</v>
      </c>
      <c r="M109" s="21"/>
      <c r="N109" s="21"/>
      <c r="O109" s="21">
        <v>7396</v>
      </c>
      <c r="P109" s="24" t="s">
        <v>16</v>
      </c>
      <c r="Q109" s="26">
        <v>45613</v>
      </c>
      <c r="R109" s="26">
        <v>45624</v>
      </c>
      <c r="S109" s="26">
        <v>45622</v>
      </c>
      <c r="T109" s="28" t="s">
        <v>199</v>
      </c>
      <c r="U109" s="28" t="s">
        <v>198</v>
      </c>
    </row>
    <row r="110" spans="1:21" ht="20.100000000000001" customHeight="1" x14ac:dyDescent="0.3">
      <c r="A110" s="32">
        <v>110</v>
      </c>
      <c r="B110" s="56">
        <v>1762617</v>
      </c>
      <c r="C110" s="56">
        <v>1306879</v>
      </c>
      <c r="D110" s="21" t="s">
        <v>131</v>
      </c>
      <c r="E110" s="21" t="s">
        <v>278</v>
      </c>
      <c r="F110" s="21"/>
      <c r="G110" s="21" t="s">
        <v>8</v>
      </c>
      <c r="H110" s="21" t="s">
        <v>150</v>
      </c>
      <c r="I110" s="21" t="s">
        <v>165</v>
      </c>
      <c r="J110" s="21" t="s">
        <v>154</v>
      </c>
      <c r="K110" s="21">
        <v>90</v>
      </c>
      <c r="L110" s="21" t="s">
        <v>168</v>
      </c>
      <c r="M110" s="21"/>
      <c r="N110" s="21"/>
      <c r="O110" s="21">
        <v>13439</v>
      </c>
      <c r="P110" s="24">
        <v>13575</v>
      </c>
      <c r="Q110" s="26">
        <v>45616</v>
      </c>
      <c r="R110" s="26">
        <v>45631</v>
      </c>
      <c r="S110" s="26">
        <v>45622</v>
      </c>
      <c r="T110" s="28" t="s">
        <v>199</v>
      </c>
      <c r="U110" s="28" t="s">
        <v>198</v>
      </c>
    </row>
    <row r="111" spans="1:21" ht="20.100000000000001" customHeight="1" x14ac:dyDescent="0.3">
      <c r="A111" s="76">
        <v>111</v>
      </c>
      <c r="B111" s="2"/>
      <c r="C111" s="2"/>
      <c r="D111" s="2" t="s">
        <v>41</v>
      </c>
      <c r="E111" s="2" t="s">
        <v>46</v>
      </c>
      <c r="F111" s="2"/>
      <c r="G111" s="2" t="s">
        <v>41</v>
      </c>
      <c r="H111" s="2" t="s">
        <v>150</v>
      </c>
      <c r="I111" s="2" t="s">
        <v>279</v>
      </c>
      <c r="J111" s="2" t="s">
        <v>280</v>
      </c>
      <c r="K111" s="2">
        <v>160</v>
      </c>
      <c r="L111" s="2" t="s">
        <v>168</v>
      </c>
      <c r="M111" s="2"/>
      <c r="N111" s="2"/>
      <c r="O111" s="2">
        <v>5100</v>
      </c>
      <c r="P111" s="3" t="s">
        <v>85</v>
      </c>
      <c r="Q111" s="62">
        <v>45610</v>
      </c>
      <c r="R111" s="62">
        <v>45634</v>
      </c>
      <c r="S111" s="2"/>
      <c r="T111" s="2"/>
      <c r="U111" s="1"/>
    </row>
    <row r="112" spans="1:21" ht="20.100000000000001" customHeight="1" x14ac:dyDescent="0.3">
      <c r="A112" s="32">
        <v>112</v>
      </c>
      <c r="B112" s="21"/>
      <c r="C112" s="21"/>
      <c r="D112" s="21" t="s">
        <v>281</v>
      </c>
      <c r="E112" s="21" t="s">
        <v>49</v>
      </c>
      <c r="F112" s="21"/>
      <c r="G112" s="21" t="s">
        <v>282</v>
      </c>
      <c r="H112" s="21" t="s">
        <v>270</v>
      </c>
      <c r="I112" s="21" t="s">
        <v>153</v>
      </c>
      <c r="J112" s="21" t="s">
        <v>283</v>
      </c>
      <c r="K112" s="21">
        <v>160</v>
      </c>
      <c r="L112" s="21" t="s">
        <v>176</v>
      </c>
      <c r="M112" s="21" t="s">
        <v>167</v>
      </c>
      <c r="N112" s="21"/>
      <c r="O112" s="21" t="s">
        <v>284</v>
      </c>
      <c r="P112" s="24">
        <v>5800</v>
      </c>
      <c r="Q112" s="26">
        <v>45618</v>
      </c>
      <c r="R112" s="26">
        <v>45628</v>
      </c>
      <c r="S112" s="26">
        <v>45623</v>
      </c>
      <c r="T112" s="28" t="s">
        <v>199</v>
      </c>
      <c r="U112" s="28" t="s">
        <v>198</v>
      </c>
    </row>
    <row r="113" spans="1:21" ht="20.100000000000001" customHeight="1" x14ac:dyDescent="0.3">
      <c r="A113" s="32">
        <v>113</v>
      </c>
      <c r="B113" s="56">
        <v>1765451</v>
      </c>
      <c r="C113" s="56">
        <v>1308241</v>
      </c>
      <c r="D113" s="21" t="s">
        <v>285</v>
      </c>
      <c r="E113" s="21" t="s">
        <v>286</v>
      </c>
      <c r="F113" s="21"/>
      <c r="G113" s="21" t="s">
        <v>8</v>
      </c>
      <c r="H113" s="21" t="s">
        <v>150</v>
      </c>
      <c r="I113" s="21" t="s">
        <v>279</v>
      </c>
      <c r="J113" s="21" t="s">
        <v>287</v>
      </c>
      <c r="K113" s="21">
        <v>120</v>
      </c>
      <c r="L113" s="21" t="s">
        <v>172</v>
      </c>
      <c r="M113" s="21"/>
      <c r="N113" s="21"/>
      <c r="O113" s="21">
        <v>10885</v>
      </c>
      <c r="P113" s="24">
        <v>7965</v>
      </c>
      <c r="Q113" s="26">
        <v>45620</v>
      </c>
      <c r="R113" s="26">
        <v>45631</v>
      </c>
      <c r="S113" s="26">
        <v>45636</v>
      </c>
      <c r="T113" s="28" t="s">
        <v>199</v>
      </c>
      <c r="U113" s="28" t="s">
        <v>198</v>
      </c>
    </row>
    <row r="114" spans="1:21" ht="20.100000000000001" customHeight="1" x14ac:dyDescent="0.3">
      <c r="A114" s="32">
        <v>114</v>
      </c>
      <c r="B114" s="21"/>
      <c r="C114" s="21"/>
      <c r="D114" s="21" t="s">
        <v>41</v>
      </c>
      <c r="E114" s="21" t="s">
        <v>46</v>
      </c>
      <c r="F114" s="21"/>
      <c r="G114" s="21" t="s">
        <v>43</v>
      </c>
      <c r="H114" s="21" t="s">
        <v>205</v>
      </c>
      <c r="I114" s="21" t="s">
        <v>288</v>
      </c>
      <c r="J114" s="21" t="s">
        <v>288</v>
      </c>
      <c r="K114" s="21"/>
      <c r="L114" s="21"/>
      <c r="M114" s="21"/>
      <c r="N114" s="21"/>
      <c r="O114" s="21">
        <v>6000</v>
      </c>
      <c r="P114" s="24">
        <v>6000</v>
      </c>
      <c r="Q114" s="26">
        <v>45615</v>
      </c>
      <c r="R114" s="26">
        <v>45631</v>
      </c>
      <c r="S114" s="26">
        <v>45616</v>
      </c>
      <c r="T114" s="21" t="s">
        <v>289</v>
      </c>
      <c r="U114" s="28" t="s">
        <v>198</v>
      </c>
    </row>
    <row r="115" spans="1:21" ht="20.100000000000001" customHeight="1" x14ac:dyDescent="0.3">
      <c r="A115" s="32">
        <v>115</v>
      </c>
      <c r="B115" s="56">
        <v>1782674</v>
      </c>
      <c r="C115" s="21">
        <v>1315860</v>
      </c>
      <c r="D115" s="21" t="s">
        <v>290</v>
      </c>
      <c r="E115" s="21" t="s">
        <v>291</v>
      </c>
      <c r="F115" s="21"/>
      <c r="G115" s="21" t="s">
        <v>8</v>
      </c>
      <c r="H115" s="21" t="s">
        <v>292</v>
      </c>
      <c r="I115" s="21"/>
      <c r="J115" s="21" t="s">
        <v>293</v>
      </c>
      <c r="K115" s="21"/>
      <c r="L115" s="21"/>
      <c r="M115" s="21"/>
      <c r="N115" s="21"/>
      <c r="O115" s="21">
        <v>8449</v>
      </c>
      <c r="P115" s="24" t="s">
        <v>16</v>
      </c>
      <c r="Q115" s="26">
        <v>45623</v>
      </c>
      <c r="R115" s="26">
        <v>45636</v>
      </c>
      <c r="S115" s="26">
        <v>45649</v>
      </c>
      <c r="T115" s="21" t="s">
        <v>28</v>
      </c>
      <c r="U115" s="29" t="s">
        <v>198</v>
      </c>
    </row>
    <row r="116" spans="1:21" ht="20.100000000000001" customHeight="1" x14ac:dyDescent="0.3">
      <c r="A116" s="32">
        <v>116</v>
      </c>
      <c r="B116" s="21">
        <v>1781530</v>
      </c>
      <c r="C116" s="56">
        <v>1315450</v>
      </c>
      <c r="D116" s="21" t="s">
        <v>294</v>
      </c>
      <c r="E116" s="21" t="s">
        <v>59</v>
      </c>
      <c r="F116" s="21"/>
      <c r="G116" s="21" t="s">
        <v>8</v>
      </c>
      <c r="H116" s="21" t="s">
        <v>292</v>
      </c>
      <c r="I116" s="21" t="s">
        <v>295</v>
      </c>
      <c r="J116" s="21" t="s">
        <v>296</v>
      </c>
      <c r="K116" s="21"/>
      <c r="L116" s="21" t="s">
        <v>167</v>
      </c>
      <c r="M116" s="21" t="s">
        <v>297</v>
      </c>
      <c r="N116" s="21"/>
      <c r="O116" s="21">
        <v>10249</v>
      </c>
      <c r="P116" s="24">
        <v>6211</v>
      </c>
      <c r="Q116" s="26">
        <v>45623</v>
      </c>
      <c r="R116" s="26">
        <v>45636</v>
      </c>
      <c r="S116" s="26">
        <v>45645</v>
      </c>
      <c r="T116" s="28" t="s">
        <v>199</v>
      </c>
      <c r="U116" s="28" t="s">
        <v>198</v>
      </c>
    </row>
    <row r="117" spans="1:21" ht="20.100000000000001" customHeight="1" x14ac:dyDescent="0.3">
      <c r="A117" s="15">
        <v>117</v>
      </c>
      <c r="B117" s="7">
        <v>1795447</v>
      </c>
      <c r="C117" s="7">
        <v>1321584</v>
      </c>
      <c r="D117" s="7" t="s">
        <v>298</v>
      </c>
      <c r="E117" s="7" t="s">
        <v>299</v>
      </c>
      <c r="F117" s="7"/>
      <c r="G117" s="7" t="s">
        <v>8</v>
      </c>
      <c r="H117" s="7" t="s">
        <v>150</v>
      </c>
      <c r="I117" s="7" t="s">
        <v>165</v>
      </c>
      <c r="J117" s="7" t="s">
        <v>155</v>
      </c>
      <c r="K117" s="7">
        <v>100</v>
      </c>
      <c r="L117" s="7" t="s">
        <v>168</v>
      </c>
      <c r="M117" s="7"/>
      <c r="N117" s="7"/>
      <c r="O117" s="7">
        <v>14905</v>
      </c>
      <c r="P117" s="9" t="s">
        <v>16</v>
      </c>
      <c r="Q117" s="13">
        <v>45625</v>
      </c>
      <c r="R117" s="13">
        <v>45641</v>
      </c>
      <c r="S117" s="7"/>
      <c r="T117" s="7" t="s">
        <v>319</v>
      </c>
      <c r="U117" s="66" t="s">
        <v>236</v>
      </c>
    </row>
    <row r="118" spans="1:21" ht="20.100000000000001" customHeight="1" x14ac:dyDescent="0.3">
      <c r="A118" s="15">
        <v>118</v>
      </c>
      <c r="B118" s="67">
        <v>1808440</v>
      </c>
      <c r="C118" s="67">
        <v>1327172</v>
      </c>
      <c r="D118" s="7" t="s">
        <v>300</v>
      </c>
      <c r="E118" s="7" t="s">
        <v>67</v>
      </c>
      <c r="F118" s="7"/>
      <c r="G118" s="7" t="s">
        <v>8</v>
      </c>
      <c r="H118" s="7" t="s">
        <v>301</v>
      </c>
      <c r="I118" s="7" t="s">
        <v>295</v>
      </c>
      <c r="J118" s="7" t="s">
        <v>296</v>
      </c>
      <c r="K118" s="7"/>
      <c r="L118" s="7" t="s">
        <v>207</v>
      </c>
      <c r="M118" s="7" t="s">
        <v>302</v>
      </c>
      <c r="N118" s="7"/>
      <c r="O118" s="7">
        <v>10249</v>
      </c>
      <c r="P118" s="9" t="s">
        <v>16</v>
      </c>
      <c r="Q118" s="13">
        <v>45626</v>
      </c>
      <c r="R118" s="13">
        <v>45638</v>
      </c>
      <c r="S118" s="7"/>
      <c r="T118" s="7"/>
      <c r="U118" s="66" t="s">
        <v>236</v>
      </c>
    </row>
    <row r="119" spans="1:21" ht="20.100000000000001" customHeight="1" x14ac:dyDescent="0.3">
      <c r="A119" s="15">
        <v>119</v>
      </c>
      <c r="B119" s="7">
        <v>1808441</v>
      </c>
      <c r="C119" s="67">
        <v>1327172</v>
      </c>
      <c r="D119" s="7" t="s">
        <v>303</v>
      </c>
      <c r="E119" s="7" t="s">
        <v>67</v>
      </c>
      <c r="F119" s="7"/>
      <c r="G119" s="7" t="s">
        <v>304</v>
      </c>
      <c r="H119" s="7" t="s">
        <v>301</v>
      </c>
      <c r="I119" s="7" t="s">
        <v>189</v>
      </c>
      <c r="J119" s="7"/>
      <c r="K119" s="7"/>
      <c r="L119" s="7" t="s">
        <v>168</v>
      </c>
      <c r="M119" s="7" t="s">
        <v>305</v>
      </c>
      <c r="N119" s="7"/>
      <c r="O119" s="7">
        <v>9029</v>
      </c>
      <c r="P119" s="9" t="s">
        <v>16</v>
      </c>
      <c r="Q119" s="13">
        <v>45626</v>
      </c>
      <c r="R119" s="13">
        <v>45638</v>
      </c>
      <c r="S119" s="7"/>
      <c r="T119" s="7"/>
      <c r="U119" s="66" t="s">
        <v>236</v>
      </c>
    </row>
    <row r="120" spans="1:21" ht="20.100000000000001" customHeight="1" x14ac:dyDescent="0.3">
      <c r="A120" s="76">
        <v>120</v>
      </c>
      <c r="B120" s="58">
        <v>1805052</v>
      </c>
      <c r="C120" s="58">
        <v>1325637</v>
      </c>
      <c r="D120" s="2" t="s">
        <v>306</v>
      </c>
      <c r="E120" s="2" t="s">
        <v>144</v>
      </c>
      <c r="F120" s="2"/>
      <c r="G120" s="2" t="s">
        <v>304</v>
      </c>
      <c r="H120" s="2" t="s">
        <v>292</v>
      </c>
      <c r="I120" s="2" t="s">
        <v>307</v>
      </c>
      <c r="J120" s="2"/>
      <c r="K120" s="2"/>
      <c r="L120" s="2" t="s">
        <v>207</v>
      </c>
      <c r="M120" s="2" t="s">
        <v>308</v>
      </c>
      <c r="N120" s="2"/>
      <c r="O120" s="2">
        <v>9029</v>
      </c>
      <c r="P120" s="3" t="s">
        <v>16</v>
      </c>
      <c r="Q120" s="62">
        <v>45626</v>
      </c>
      <c r="R120" s="62">
        <v>45638</v>
      </c>
      <c r="S120" s="2"/>
      <c r="T120" s="2"/>
      <c r="U120" s="1"/>
    </row>
    <row r="121" spans="1:21" ht="20.100000000000001" customHeight="1" x14ac:dyDescent="0.3">
      <c r="A121" s="15">
        <v>121</v>
      </c>
      <c r="B121" s="67">
        <v>1813823</v>
      </c>
      <c r="C121" s="67">
        <v>1329646</v>
      </c>
      <c r="D121" s="7" t="s">
        <v>309</v>
      </c>
      <c r="E121" s="7" t="s">
        <v>310</v>
      </c>
      <c r="F121" s="7"/>
      <c r="G121" s="7" t="s">
        <v>8</v>
      </c>
      <c r="H121" s="7" t="s">
        <v>150</v>
      </c>
      <c r="I121" s="7" t="s">
        <v>273</v>
      </c>
      <c r="J121" s="7" t="s">
        <v>152</v>
      </c>
      <c r="K121" s="68">
        <v>80</v>
      </c>
      <c r="L121" s="7" t="s">
        <v>167</v>
      </c>
      <c r="M121" s="7"/>
      <c r="N121" s="7"/>
      <c r="O121" s="7">
        <v>12099</v>
      </c>
      <c r="P121" s="9" t="s">
        <v>16</v>
      </c>
      <c r="Q121" s="13">
        <v>45628</v>
      </c>
      <c r="R121" s="13">
        <v>45643</v>
      </c>
      <c r="S121" s="7"/>
      <c r="T121" s="7"/>
      <c r="U121" s="66" t="s">
        <v>236</v>
      </c>
    </row>
    <row r="122" spans="1:21" ht="20.100000000000001" customHeight="1" x14ac:dyDescent="0.3">
      <c r="A122" s="32">
        <v>122</v>
      </c>
      <c r="B122" s="21" t="s">
        <v>311</v>
      </c>
      <c r="C122" s="21"/>
      <c r="D122" s="21" t="s">
        <v>83</v>
      </c>
      <c r="E122" s="21" t="s">
        <v>200</v>
      </c>
      <c r="F122" s="21"/>
      <c r="G122" s="21" t="s">
        <v>56</v>
      </c>
      <c r="H122" s="21" t="s">
        <v>150</v>
      </c>
      <c r="I122" s="21" t="s">
        <v>273</v>
      </c>
      <c r="J122" s="21" t="s">
        <v>277</v>
      </c>
      <c r="K122" s="57">
        <v>90</v>
      </c>
      <c r="L122" s="21" t="s">
        <v>170</v>
      </c>
      <c r="M122" s="21"/>
      <c r="N122" s="21"/>
      <c r="O122" s="21">
        <v>5217</v>
      </c>
      <c r="P122" s="24" t="s">
        <v>85</v>
      </c>
      <c r="Q122" s="26">
        <v>45627</v>
      </c>
      <c r="R122" s="26">
        <v>45640</v>
      </c>
      <c r="S122" s="26">
        <v>45636</v>
      </c>
      <c r="T122" s="28" t="s">
        <v>199</v>
      </c>
      <c r="U122" s="28" t="s">
        <v>198</v>
      </c>
    </row>
    <row r="123" spans="1:21" ht="20.100000000000001" customHeight="1" x14ac:dyDescent="0.3">
      <c r="A123" s="32">
        <v>123</v>
      </c>
      <c r="B123" s="56">
        <v>1810950</v>
      </c>
      <c r="C123" s="56">
        <v>1328141</v>
      </c>
      <c r="D123" s="21" t="s">
        <v>312</v>
      </c>
      <c r="E123" s="21" t="s">
        <v>135</v>
      </c>
      <c r="F123" s="21"/>
      <c r="G123" s="21" t="s">
        <v>8</v>
      </c>
      <c r="H123" s="21" t="s">
        <v>270</v>
      </c>
      <c r="I123" s="21" t="s">
        <v>151</v>
      </c>
      <c r="J123" s="21"/>
      <c r="K123" s="21"/>
      <c r="L123" s="21" t="s">
        <v>168</v>
      </c>
      <c r="M123" s="21" t="s">
        <v>168</v>
      </c>
      <c r="N123" s="21"/>
      <c r="O123" s="21">
        <v>10249</v>
      </c>
      <c r="P123" s="24">
        <v>6211</v>
      </c>
      <c r="Q123" s="26">
        <v>45630</v>
      </c>
      <c r="R123" s="26">
        <v>45640</v>
      </c>
      <c r="S123" s="26">
        <v>45645</v>
      </c>
      <c r="T123" s="28" t="s">
        <v>199</v>
      </c>
      <c r="U123" s="28" t="s">
        <v>198</v>
      </c>
    </row>
    <row r="124" spans="1:21" ht="20.100000000000001" customHeight="1" x14ac:dyDescent="0.2">
      <c r="A124" s="32">
        <v>124</v>
      </c>
      <c r="B124" s="65">
        <v>240085463</v>
      </c>
      <c r="C124" s="21"/>
      <c r="D124" s="21" t="s">
        <v>313</v>
      </c>
      <c r="E124" s="21" t="s">
        <v>314</v>
      </c>
      <c r="F124" s="21"/>
      <c r="G124" s="21" t="s">
        <v>52</v>
      </c>
      <c r="H124" s="21" t="s">
        <v>150</v>
      </c>
      <c r="I124" s="21" t="s">
        <v>165</v>
      </c>
      <c r="J124" s="21" t="s">
        <v>154</v>
      </c>
      <c r="K124" s="21"/>
      <c r="L124" s="21" t="s">
        <v>168</v>
      </c>
      <c r="M124" s="21"/>
      <c r="N124" s="21"/>
      <c r="O124" s="21">
        <v>10445</v>
      </c>
      <c r="P124" s="24">
        <v>7707</v>
      </c>
      <c r="Q124" s="26">
        <v>45635</v>
      </c>
      <c r="R124" s="26">
        <v>45657</v>
      </c>
      <c r="S124" s="26">
        <v>45638</v>
      </c>
      <c r="T124" s="28" t="s">
        <v>199</v>
      </c>
      <c r="U124" s="28" t="s">
        <v>198</v>
      </c>
    </row>
    <row r="125" spans="1:21" ht="20.100000000000001" customHeight="1" x14ac:dyDescent="0.3">
      <c r="A125" s="32">
        <v>125</v>
      </c>
      <c r="B125" s="56">
        <v>1818591</v>
      </c>
      <c r="C125" s="56">
        <v>1332300</v>
      </c>
      <c r="D125" s="21" t="s">
        <v>315</v>
      </c>
      <c r="E125" s="21" t="s">
        <v>67</v>
      </c>
      <c r="F125" s="21"/>
      <c r="G125" s="21" t="s">
        <v>8</v>
      </c>
      <c r="H125" s="21" t="s">
        <v>292</v>
      </c>
      <c r="I125" s="21" t="s">
        <v>316</v>
      </c>
      <c r="J125" s="21" t="s">
        <v>296</v>
      </c>
      <c r="K125" s="21"/>
      <c r="L125" s="21" t="s">
        <v>207</v>
      </c>
      <c r="M125" s="21" t="s">
        <v>302</v>
      </c>
      <c r="N125" s="21"/>
      <c r="O125" s="21">
        <v>11199</v>
      </c>
      <c r="P125" s="24">
        <v>11257</v>
      </c>
      <c r="Q125" s="26">
        <v>45638</v>
      </c>
      <c r="R125" s="26">
        <v>45650</v>
      </c>
      <c r="S125" s="26">
        <v>45645</v>
      </c>
      <c r="T125" s="28" t="s">
        <v>199</v>
      </c>
      <c r="U125" s="28" t="s">
        <v>198</v>
      </c>
    </row>
    <row r="126" spans="1:21" ht="20.100000000000001" customHeight="1" x14ac:dyDescent="0.3">
      <c r="A126" s="32">
        <v>126</v>
      </c>
      <c r="B126" s="21">
        <v>1818396</v>
      </c>
      <c r="C126" s="21">
        <v>1332179</v>
      </c>
      <c r="D126" s="21" t="s">
        <v>317</v>
      </c>
      <c r="E126" s="21" t="s">
        <v>278</v>
      </c>
      <c r="F126" s="21"/>
      <c r="G126" s="21" t="s">
        <v>8</v>
      </c>
      <c r="H126" s="21" t="s">
        <v>270</v>
      </c>
      <c r="I126" s="21" t="s">
        <v>165</v>
      </c>
      <c r="J126" s="21" t="s">
        <v>152</v>
      </c>
      <c r="K126" s="21">
        <v>80</v>
      </c>
      <c r="L126" s="21" t="s">
        <v>168</v>
      </c>
      <c r="M126" s="21"/>
      <c r="N126" s="21"/>
      <c r="O126" s="21">
        <v>13099</v>
      </c>
      <c r="P126" s="24">
        <v>13231</v>
      </c>
      <c r="Q126" s="26">
        <v>45638</v>
      </c>
      <c r="R126" s="26">
        <v>45654</v>
      </c>
      <c r="S126" s="26">
        <v>45655</v>
      </c>
      <c r="T126" s="21" t="s">
        <v>199</v>
      </c>
      <c r="U126" s="28" t="s">
        <v>198</v>
      </c>
    </row>
    <row r="127" spans="1:21" ht="20.100000000000001" customHeight="1" x14ac:dyDescent="0.2">
      <c r="A127" s="32">
        <v>127</v>
      </c>
      <c r="B127" s="69">
        <v>240085758</v>
      </c>
      <c r="C127" s="21"/>
      <c r="D127" s="21" t="s">
        <v>52</v>
      </c>
      <c r="E127" s="21" t="s">
        <v>224</v>
      </c>
      <c r="F127" s="21"/>
      <c r="G127" s="21" t="s">
        <v>52</v>
      </c>
      <c r="H127" s="21" t="s">
        <v>205</v>
      </c>
      <c r="I127" s="21" t="s">
        <v>206</v>
      </c>
      <c r="J127" s="21" t="s">
        <v>258</v>
      </c>
      <c r="K127" s="21"/>
      <c r="L127" s="21" t="s">
        <v>207</v>
      </c>
      <c r="M127" s="21" t="s">
        <v>318</v>
      </c>
      <c r="N127" s="21"/>
      <c r="O127" s="21">
        <v>8700</v>
      </c>
      <c r="P127" s="24" t="s">
        <v>85</v>
      </c>
      <c r="Q127" s="26">
        <v>45640</v>
      </c>
      <c r="R127" s="26">
        <v>45662</v>
      </c>
      <c r="S127" s="26">
        <v>45655</v>
      </c>
      <c r="T127" s="21" t="s">
        <v>199</v>
      </c>
      <c r="U127" s="28" t="s">
        <v>198</v>
      </c>
    </row>
    <row r="128" spans="1:21" ht="20.100000000000001" customHeight="1" x14ac:dyDescent="0.3">
      <c r="A128" s="2"/>
      <c r="B128" s="2"/>
      <c r="C128" s="2"/>
      <c r="D128" s="2"/>
      <c r="E128" s="2"/>
      <c r="F128" s="2"/>
      <c r="G128" s="2"/>
      <c r="H128" s="2"/>
      <c r="I128" s="2"/>
      <c r="J128" s="2"/>
      <c r="K128" s="2"/>
      <c r="L128" s="2"/>
      <c r="M128" s="2"/>
      <c r="N128" s="2"/>
      <c r="O128" s="2"/>
      <c r="P128" s="3"/>
      <c r="Q128" s="2"/>
      <c r="R128" s="2"/>
      <c r="S128" s="2"/>
      <c r="T128" s="2"/>
      <c r="U128" s="1"/>
    </row>
    <row r="129" spans="1:21" ht="20.100000000000001" customHeight="1" x14ac:dyDescent="0.3">
      <c r="A129" s="2"/>
      <c r="B129" s="2"/>
      <c r="C129" s="2"/>
      <c r="D129" s="2"/>
      <c r="E129" s="2"/>
      <c r="F129" s="2"/>
      <c r="G129" s="2"/>
      <c r="H129" s="2"/>
      <c r="I129" s="2"/>
      <c r="J129" s="2"/>
      <c r="K129" s="2"/>
      <c r="L129" s="2"/>
      <c r="M129" s="2"/>
      <c r="N129" s="2"/>
      <c r="O129" s="2"/>
      <c r="P129" s="3"/>
      <c r="Q129" s="2"/>
      <c r="R129" s="2"/>
      <c r="S129" s="2"/>
      <c r="T129" s="2"/>
      <c r="U129" s="1"/>
    </row>
    <row r="130" spans="1:21" ht="20.100000000000001" customHeight="1" x14ac:dyDescent="0.3">
      <c r="A130" s="2"/>
      <c r="B130" s="2"/>
      <c r="C130" s="2"/>
      <c r="D130" s="2"/>
      <c r="E130" s="2"/>
      <c r="F130" s="2"/>
      <c r="G130" s="2"/>
      <c r="H130" s="2"/>
      <c r="I130" s="2"/>
      <c r="J130" s="2"/>
      <c r="K130" s="2"/>
      <c r="L130" s="2"/>
      <c r="M130" s="2"/>
      <c r="N130" s="2"/>
      <c r="O130" s="2"/>
      <c r="P130" s="3"/>
      <c r="Q130" s="2"/>
      <c r="R130" s="2"/>
      <c r="S130" s="2"/>
      <c r="T130" s="2"/>
      <c r="U130" s="1"/>
    </row>
    <row r="131" spans="1:21" ht="20.100000000000001" customHeight="1" x14ac:dyDescent="0.3">
      <c r="A131" s="2"/>
      <c r="B131" s="2"/>
      <c r="C131" s="2"/>
      <c r="D131" s="2"/>
      <c r="E131" s="2"/>
      <c r="F131" s="2"/>
      <c r="G131" s="2"/>
      <c r="H131" s="2"/>
      <c r="I131" s="2"/>
      <c r="J131" s="2"/>
      <c r="K131" s="2"/>
      <c r="L131" s="2"/>
      <c r="M131" s="2"/>
      <c r="N131" s="2"/>
      <c r="O131" s="2"/>
      <c r="P131" s="3"/>
      <c r="Q131" s="2"/>
      <c r="R131" s="2"/>
      <c r="S131" s="2"/>
      <c r="T131" s="2"/>
      <c r="U131" s="1"/>
    </row>
    <row r="132" spans="1:21" ht="20.100000000000001" customHeight="1" x14ac:dyDescent="0.3">
      <c r="A132" s="2"/>
      <c r="B132" s="2"/>
      <c r="C132" s="2"/>
      <c r="D132" s="2"/>
      <c r="E132" s="2"/>
      <c r="F132" s="2"/>
      <c r="G132" s="2"/>
      <c r="H132" s="2"/>
      <c r="I132" s="2"/>
      <c r="J132" s="2"/>
      <c r="K132" s="2"/>
      <c r="L132" s="2"/>
      <c r="M132" s="2"/>
      <c r="N132" s="2"/>
      <c r="O132" s="2"/>
      <c r="P132" s="3"/>
      <c r="Q132" s="2"/>
      <c r="R132" s="2"/>
      <c r="S132" s="2"/>
      <c r="T132" s="2"/>
      <c r="U132" s="1"/>
    </row>
    <row r="133" spans="1:21" ht="20.100000000000001" customHeight="1" x14ac:dyDescent="0.3">
      <c r="A133" s="2"/>
      <c r="B133" s="2"/>
      <c r="C133" s="2"/>
      <c r="D133" s="2"/>
      <c r="E133" s="2"/>
      <c r="F133" s="2"/>
      <c r="G133" s="2"/>
      <c r="H133" s="2"/>
      <c r="I133" s="2"/>
      <c r="J133" s="2"/>
      <c r="K133" s="2"/>
      <c r="L133" s="2"/>
      <c r="M133" s="2"/>
      <c r="N133" s="2"/>
      <c r="O133" s="2"/>
      <c r="P133" s="3"/>
      <c r="Q133" s="2"/>
      <c r="R133" s="2"/>
      <c r="S133" s="2"/>
      <c r="T133" s="2"/>
      <c r="U133" s="1"/>
    </row>
    <row r="134" spans="1:21" ht="20.100000000000001" customHeight="1" x14ac:dyDescent="0.3">
      <c r="A134" s="2"/>
      <c r="B134" s="2"/>
      <c r="C134" s="2"/>
      <c r="D134" s="2"/>
      <c r="E134" s="2"/>
      <c r="F134" s="2"/>
      <c r="G134" s="2"/>
      <c r="H134" s="2"/>
      <c r="I134" s="2"/>
      <c r="J134" s="2"/>
      <c r="K134" s="2"/>
      <c r="L134" s="2"/>
      <c r="M134" s="2"/>
      <c r="N134" s="2"/>
      <c r="O134" s="2"/>
      <c r="P134" s="3"/>
      <c r="Q134" s="2"/>
      <c r="R134" s="2"/>
      <c r="S134" s="2"/>
      <c r="T134" s="2"/>
      <c r="U134" s="1"/>
    </row>
    <row r="135" spans="1:21" ht="20.100000000000001" customHeight="1" x14ac:dyDescent="0.3">
      <c r="A135" s="2"/>
      <c r="B135" s="2"/>
      <c r="C135" s="2"/>
      <c r="D135" s="2"/>
      <c r="E135" s="2"/>
      <c r="F135" s="2"/>
      <c r="G135" s="2"/>
      <c r="H135" s="2"/>
      <c r="I135" s="2"/>
      <c r="J135" s="2"/>
      <c r="K135" s="2"/>
      <c r="L135" s="2"/>
      <c r="M135" s="2"/>
      <c r="N135" s="2"/>
      <c r="O135" s="2"/>
      <c r="P135" s="3"/>
      <c r="Q135" s="2"/>
      <c r="R135" s="2"/>
      <c r="S135" s="2"/>
      <c r="T135" s="2"/>
      <c r="U135" s="1"/>
    </row>
    <row r="136" spans="1:21" ht="20.100000000000001" customHeight="1" x14ac:dyDescent="0.3">
      <c r="A136" s="2"/>
      <c r="B136" s="2"/>
      <c r="C136" s="2"/>
      <c r="D136" s="2"/>
      <c r="E136" s="2"/>
      <c r="F136" s="2"/>
      <c r="G136" s="2"/>
      <c r="H136" s="2"/>
      <c r="I136" s="2"/>
      <c r="J136" s="2"/>
      <c r="K136" s="2"/>
      <c r="L136" s="2"/>
      <c r="M136" s="2"/>
      <c r="N136" s="2"/>
      <c r="O136" s="2"/>
      <c r="P136" s="3"/>
      <c r="Q136" s="2"/>
      <c r="R136" s="2"/>
      <c r="S136" s="2"/>
      <c r="T136" s="2"/>
      <c r="U136" s="1"/>
    </row>
    <row r="137" spans="1:21" ht="20.100000000000001" customHeight="1" x14ac:dyDescent="0.3">
      <c r="A137" s="2"/>
      <c r="B137" s="2"/>
      <c r="C137" s="2"/>
      <c r="D137" s="2"/>
      <c r="E137" s="2"/>
      <c r="F137" s="2"/>
      <c r="G137" s="2"/>
      <c r="H137" s="2"/>
      <c r="I137" s="2"/>
      <c r="J137" s="2"/>
      <c r="K137" s="2"/>
      <c r="L137" s="2"/>
      <c r="M137" s="2"/>
      <c r="N137" s="2"/>
      <c r="O137" s="2"/>
      <c r="P137" s="3"/>
      <c r="Q137" s="2"/>
      <c r="R137" s="2"/>
      <c r="S137" s="2"/>
      <c r="T137" s="2"/>
      <c r="U137" s="1"/>
    </row>
    <row r="138" spans="1:21" ht="20.100000000000001" customHeight="1" x14ac:dyDescent="0.3">
      <c r="A138" s="2"/>
      <c r="B138" s="2"/>
      <c r="C138" s="2"/>
      <c r="D138" s="2"/>
      <c r="E138" s="2"/>
      <c r="F138" s="2"/>
      <c r="G138" s="2"/>
      <c r="H138" s="2"/>
      <c r="I138" s="2"/>
      <c r="J138" s="2"/>
      <c r="K138" s="2"/>
      <c r="L138" s="2"/>
      <c r="M138" s="2"/>
      <c r="N138" s="2"/>
      <c r="O138" s="2"/>
      <c r="P138" s="3"/>
      <c r="Q138" s="2"/>
      <c r="R138" s="2"/>
      <c r="S138" s="2"/>
      <c r="T138" s="2"/>
      <c r="U138" s="1"/>
    </row>
    <row r="139" spans="1:21" ht="20.100000000000001" customHeight="1" x14ac:dyDescent="0.3">
      <c r="A139" s="2"/>
      <c r="B139" s="2"/>
      <c r="C139" s="2"/>
      <c r="D139" s="2"/>
      <c r="E139" s="2"/>
      <c r="F139" s="2"/>
      <c r="G139" s="2"/>
      <c r="H139" s="2"/>
      <c r="I139" s="2"/>
      <c r="J139" s="2"/>
      <c r="K139" s="2"/>
      <c r="L139" s="2"/>
      <c r="M139" s="2"/>
      <c r="N139" s="2"/>
      <c r="O139" s="2"/>
      <c r="P139" s="3"/>
      <c r="Q139" s="2"/>
      <c r="R139" s="2"/>
      <c r="S139" s="2"/>
      <c r="T139" s="2"/>
      <c r="U139" s="1"/>
    </row>
    <row r="140" spans="1:21" ht="20.100000000000001" customHeight="1" x14ac:dyDescent="0.3">
      <c r="A140" s="2"/>
      <c r="B140" s="2"/>
      <c r="C140" s="2"/>
      <c r="D140" s="2"/>
      <c r="E140" s="2"/>
      <c r="F140" s="2"/>
      <c r="G140" s="2"/>
      <c r="H140" s="2"/>
      <c r="I140" s="2"/>
      <c r="J140" s="2"/>
      <c r="K140" s="2"/>
      <c r="L140" s="2"/>
      <c r="M140" s="2"/>
      <c r="N140" s="2"/>
      <c r="O140" s="2"/>
      <c r="P140" s="3"/>
      <c r="Q140" s="2"/>
      <c r="R140" s="2"/>
      <c r="S140" s="2"/>
      <c r="T140" s="2"/>
      <c r="U140" s="1"/>
    </row>
    <row r="141" spans="1:21" ht="20.100000000000001" customHeight="1" x14ac:dyDescent="0.3">
      <c r="A141" s="2"/>
      <c r="B141" s="2"/>
      <c r="C141" s="2"/>
      <c r="D141" s="2"/>
      <c r="E141" s="2"/>
      <c r="F141" s="2"/>
      <c r="G141" s="2"/>
      <c r="H141" s="2"/>
      <c r="I141" s="2"/>
      <c r="J141" s="2"/>
      <c r="K141" s="2"/>
      <c r="L141" s="2"/>
      <c r="M141" s="2"/>
      <c r="N141" s="2"/>
      <c r="O141" s="2"/>
      <c r="P141" s="3"/>
      <c r="Q141" s="2"/>
      <c r="R141" s="2"/>
      <c r="S141" s="2"/>
      <c r="T141" s="2"/>
      <c r="U141" s="1"/>
    </row>
    <row r="142" spans="1:21" ht="20.100000000000001" customHeight="1" x14ac:dyDescent="0.3">
      <c r="A142" s="2"/>
      <c r="B142" s="2"/>
      <c r="C142" s="2"/>
      <c r="D142" s="2"/>
      <c r="E142" s="2"/>
      <c r="F142" s="2"/>
      <c r="G142" s="2"/>
      <c r="H142" s="2"/>
      <c r="I142" s="2"/>
      <c r="J142" s="2"/>
      <c r="K142" s="2"/>
      <c r="L142" s="2"/>
      <c r="M142" s="2"/>
      <c r="N142" s="2"/>
      <c r="O142" s="2"/>
      <c r="P142" s="3"/>
      <c r="Q142" s="2"/>
      <c r="R142" s="2"/>
      <c r="S142" s="2"/>
      <c r="T142" s="2"/>
      <c r="U142" s="1"/>
    </row>
    <row r="143" spans="1:21" ht="20.100000000000001" customHeight="1" x14ac:dyDescent="0.3">
      <c r="A143" s="2"/>
      <c r="B143" s="2"/>
      <c r="C143" s="2"/>
      <c r="D143" s="2"/>
      <c r="E143" s="2"/>
      <c r="F143" s="2"/>
      <c r="G143" s="2"/>
      <c r="H143" s="2"/>
      <c r="I143" s="2"/>
      <c r="J143" s="2"/>
      <c r="K143" s="2"/>
      <c r="L143" s="2"/>
      <c r="M143" s="2"/>
      <c r="N143" s="2"/>
      <c r="O143" s="2"/>
      <c r="P143" s="3"/>
      <c r="Q143" s="2"/>
      <c r="R143" s="2"/>
      <c r="S143" s="2"/>
      <c r="T143" s="2"/>
      <c r="U143" s="1"/>
    </row>
    <row r="144" spans="1:21" ht="20.100000000000001" customHeight="1" x14ac:dyDescent="0.3">
      <c r="A144" s="2"/>
      <c r="B144" s="2"/>
      <c r="C144" s="2"/>
      <c r="D144" s="2"/>
      <c r="E144" s="2"/>
      <c r="F144" s="2"/>
      <c r="G144" s="2"/>
      <c r="H144" s="2"/>
      <c r="I144" s="2"/>
      <c r="J144" s="2"/>
      <c r="K144" s="2"/>
      <c r="L144" s="2"/>
      <c r="M144" s="2"/>
      <c r="N144" s="2"/>
      <c r="O144" s="2"/>
      <c r="P144" s="3"/>
      <c r="Q144" s="2"/>
      <c r="R144" s="2"/>
      <c r="S144" s="2"/>
      <c r="T144" s="2"/>
      <c r="U144" s="1"/>
    </row>
    <row r="145" spans="1:21" ht="20.100000000000001" customHeight="1" x14ac:dyDescent="0.3">
      <c r="A145" s="2"/>
      <c r="B145" s="2"/>
      <c r="C145" s="2"/>
      <c r="D145" s="2"/>
      <c r="E145" s="2"/>
      <c r="F145" s="2"/>
      <c r="G145" s="2"/>
      <c r="H145" s="2"/>
      <c r="I145" s="2"/>
      <c r="J145" s="2"/>
      <c r="K145" s="2"/>
      <c r="L145" s="2"/>
      <c r="M145" s="2"/>
      <c r="N145" s="2"/>
      <c r="O145" s="2"/>
      <c r="P145" s="3"/>
      <c r="Q145" s="2"/>
      <c r="R145" s="2"/>
      <c r="S145" s="2"/>
      <c r="T145" s="2"/>
      <c r="U145" s="1"/>
    </row>
    <row r="146" spans="1:21" ht="20.100000000000001" customHeight="1" x14ac:dyDescent="0.3">
      <c r="A146" s="2"/>
      <c r="B146" s="2"/>
      <c r="C146" s="2"/>
      <c r="D146" s="2"/>
      <c r="E146" s="2"/>
      <c r="F146" s="2"/>
      <c r="G146" s="2"/>
      <c r="H146" s="2"/>
      <c r="I146" s="2"/>
      <c r="J146" s="2"/>
      <c r="K146" s="2"/>
      <c r="L146" s="2"/>
      <c r="M146" s="2"/>
      <c r="N146" s="2"/>
      <c r="O146" s="2"/>
      <c r="P146" s="3"/>
      <c r="Q146" s="2"/>
      <c r="R146" s="2"/>
      <c r="S146" s="2"/>
      <c r="T146" s="2"/>
      <c r="U146" s="1"/>
    </row>
    <row r="147" spans="1:21" ht="20.100000000000001" customHeight="1" x14ac:dyDescent="0.3">
      <c r="A147" s="2"/>
      <c r="B147" s="2"/>
      <c r="C147" s="2"/>
      <c r="D147" s="2"/>
      <c r="E147" s="2"/>
      <c r="F147" s="2"/>
      <c r="G147" s="2"/>
      <c r="H147" s="2"/>
      <c r="I147" s="2"/>
      <c r="J147" s="2"/>
      <c r="K147" s="2"/>
      <c r="L147" s="2"/>
      <c r="M147" s="2"/>
      <c r="N147" s="2"/>
      <c r="O147" s="2"/>
      <c r="P147" s="3"/>
      <c r="Q147" s="2"/>
      <c r="R147" s="2"/>
      <c r="S147" s="2"/>
      <c r="T147" s="2"/>
      <c r="U147" s="1"/>
    </row>
    <row r="148" spans="1:21" ht="20.100000000000001" customHeight="1" x14ac:dyDescent="0.3">
      <c r="A148" s="2"/>
      <c r="B148" s="2"/>
      <c r="C148" s="2"/>
      <c r="D148" s="2"/>
      <c r="E148" s="2"/>
      <c r="F148" s="2"/>
      <c r="G148" s="2"/>
      <c r="H148" s="2"/>
      <c r="I148" s="2"/>
      <c r="J148" s="2"/>
      <c r="K148" s="2"/>
      <c r="L148" s="2"/>
      <c r="M148" s="2"/>
      <c r="N148" s="2"/>
      <c r="O148" s="2"/>
      <c r="P148" s="3"/>
      <c r="Q148" s="2"/>
      <c r="R148" s="2"/>
      <c r="S148" s="2"/>
      <c r="T148" s="2"/>
      <c r="U148" s="1"/>
    </row>
    <row r="149" spans="1:21" ht="20.100000000000001" customHeight="1" x14ac:dyDescent="0.3">
      <c r="A149" s="2"/>
      <c r="B149" s="2"/>
      <c r="C149" s="2"/>
      <c r="D149" s="2"/>
      <c r="E149" s="2"/>
      <c r="F149" s="2"/>
      <c r="G149" s="2"/>
      <c r="H149" s="2"/>
      <c r="I149" s="2"/>
      <c r="J149" s="2"/>
      <c r="K149" s="2"/>
      <c r="L149" s="2"/>
      <c r="M149" s="2"/>
      <c r="N149" s="2"/>
      <c r="O149" s="2"/>
      <c r="P149" s="3"/>
      <c r="Q149" s="2"/>
      <c r="R149" s="2"/>
      <c r="S149" s="2"/>
      <c r="T149" s="2"/>
      <c r="U149" s="1"/>
    </row>
    <row r="150" spans="1:21" ht="20.100000000000001" customHeight="1" x14ac:dyDescent="0.3">
      <c r="A150" s="2"/>
      <c r="B150" s="2"/>
      <c r="C150" s="2"/>
      <c r="D150" s="2"/>
      <c r="E150" s="2"/>
      <c r="F150" s="2"/>
      <c r="G150" s="2"/>
      <c r="H150" s="2"/>
      <c r="I150" s="2"/>
      <c r="J150" s="2"/>
      <c r="K150" s="2"/>
      <c r="L150" s="2"/>
      <c r="M150" s="2"/>
      <c r="N150" s="2"/>
      <c r="O150" s="2"/>
      <c r="P150" s="3"/>
      <c r="Q150" s="2"/>
      <c r="R150" s="2"/>
      <c r="S150" s="2"/>
      <c r="T150" s="2"/>
      <c r="U150" s="1"/>
    </row>
    <row r="151" spans="1:21" ht="20.100000000000001" customHeight="1" x14ac:dyDescent="0.3">
      <c r="A151" s="2"/>
      <c r="B151" s="2"/>
      <c r="C151" s="2"/>
      <c r="D151" s="2"/>
      <c r="E151" s="2"/>
      <c r="F151" s="2"/>
      <c r="G151" s="2"/>
      <c r="H151" s="2"/>
      <c r="I151" s="2"/>
      <c r="J151" s="2"/>
      <c r="K151" s="2"/>
      <c r="L151" s="2"/>
      <c r="M151" s="2"/>
      <c r="N151" s="2"/>
      <c r="O151" s="2"/>
      <c r="P151" s="3"/>
      <c r="Q151" s="2"/>
      <c r="R151" s="2"/>
      <c r="S151" s="2"/>
      <c r="T151" s="2"/>
      <c r="U151" s="1"/>
    </row>
    <row r="152" spans="1:21" ht="20.100000000000001" customHeight="1" x14ac:dyDescent="0.3">
      <c r="A152" s="2"/>
      <c r="B152" s="2"/>
      <c r="C152" s="2"/>
      <c r="D152" s="2"/>
      <c r="E152" s="2"/>
      <c r="F152" s="2"/>
      <c r="G152" s="2"/>
      <c r="H152" s="2"/>
      <c r="I152" s="2"/>
      <c r="J152" s="2"/>
      <c r="K152" s="2"/>
      <c r="L152" s="2"/>
      <c r="M152" s="2"/>
      <c r="N152" s="2"/>
      <c r="O152" s="2"/>
      <c r="P152" s="3"/>
      <c r="Q152" s="2"/>
      <c r="R152" s="2"/>
      <c r="S152" s="2"/>
      <c r="T152" s="2"/>
      <c r="U152" s="1"/>
    </row>
    <row r="153" spans="1:21" ht="20.100000000000001" customHeight="1" x14ac:dyDescent="0.3">
      <c r="A153" s="2"/>
      <c r="B153" s="2"/>
      <c r="C153" s="2"/>
      <c r="D153" s="2"/>
      <c r="E153" s="2"/>
      <c r="F153" s="2"/>
      <c r="G153" s="2"/>
      <c r="H153" s="2"/>
      <c r="I153" s="2"/>
      <c r="J153" s="2"/>
      <c r="K153" s="2"/>
      <c r="L153" s="2"/>
      <c r="M153" s="2"/>
      <c r="N153" s="2"/>
      <c r="O153" s="2"/>
      <c r="P153" s="3"/>
      <c r="Q153" s="2"/>
      <c r="R153" s="2"/>
      <c r="S153" s="2"/>
      <c r="T153" s="2"/>
      <c r="U153" s="1"/>
    </row>
    <row r="154" spans="1:21" ht="20.100000000000001" customHeight="1" x14ac:dyDescent="0.3">
      <c r="A154" s="2"/>
      <c r="B154" s="2"/>
      <c r="C154" s="2"/>
      <c r="D154" s="2"/>
      <c r="E154" s="2"/>
      <c r="F154" s="2"/>
      <c r="G154" s="2"/>
      <c r="H154" s="2"/>
      <c r="I154" s="2"/>
      <c r="J154" s="2"/>
      <c r="K154" s="2"/>
      <c r="L154" s="2"/>
      <c r="M154" s="2"/>
      <c r="N154" s="2"/>
      <c r="O154" s="2"/>
      <c r="P154" s="3"/>
      <c r="Q154" s="2"/>
      <c r="R154" s="2"/>
      <c r="S154" s="2"/>
      <c r="T154" s="2"/>
      <c r="U154" s="1"/>
    </row>
    <row r="155" spans="1:21" ht="20.100000000000001" customHeight="1" x14ac:dyDescent="0.3">
      <c r="A155" s="2"/>
      <c r="B155" s="2"/>
      <c r="C155" s="2"/>
      <c r="D155" s="2"/>
      <c r="E155" s="2"/>
      <c r="F155" s="2"/>
      <c r="G155" s="2"/>
      <c r="H155" s="2"/>
      <c r="I155" s="2"/>
      <c r="J155" s="2"/>
      <c r="K155" s="2"/>
      <c r="L155" s="2"/>
      <c r="M155" s="2"/>
      <c r="N155" s="2"/>
      <c r="O155" s="2"/>
      <c r="P155" s="3"/>
      <c r="Q155" s="2"/>
      <c r="R155" s="2"/>
      <c r="S155" s="2"/>
      <c r="T155" s="2"/>
      <c r="U155" s="1"/>
    </row>
    <row r="156" spans="1:21" ht="20.100000000000001" customHeight="1" x14ac:dyDescent="0.3">
      <c r="A156" s="2"/>
      <c r="B156" s="2"/>
      <c r="C156" s="2"/>
      <c r="D156" s="2"/>
      <c r="E156" s="2"/>
      <c r="F156" s="2"/>
      <c r="G156" s="2"/>
      <c r="H156" s="2"/>
      <c r="I156" s="2"/>
      <c r="J156" s="2"/>
      <c r="K156" s="2"/>
      <c r="L156" s="2"/>
      <c r="M156" s="2"/>
      <c r="N156" s="2"/>
      <c r="O156" s="2"/>
      <c r="P156" s="3"/>
      <c r="Q156" s="2"/>
      <c r="R156" s="2"/>
      <c r="S156" s="2"/>
      <c r="T156" s="2"/>
      <c r="U156" s="1"/>
    </row>
    <row r="157" spans="1:21" ht="20.100000000000001" customHeight="1" x14ac:dyDescent="0.3">
      <c r="A157" s="2"/>
      <c r="B157" s="2"/>
      <c r="C157" s="2"/>
      <c r="D157" s="2"/>
      <c r="E157" s="2"/>
      <c r="F157" s="2"/>
      <c r="G157" s="2"/>
      <c r="H157" s="2"/>
      <c r="I157" s="2"/>
      <c r="J157" s="2"/>
      <c r="K157" s="2"/>
      <c r="L157" s="2"/>
      <c r="M157" s="2"/>
      <c r="N157" s="2"/>
      <c r="O157" s="2"/>
      <c r="P157" s="3"/>
      <c r="Q157" s="2"/>
      <c r="R157" s="2"/>
      <c r="S157" s="2"/>
      <c r="T157" s="2"/>
      <c r="U157" s="1"/>
    </row>
    <row r="158" spans="1:21" ht="20.100000000000001" customHeight="1" x14ac:dyDescent="0.3">
      <c r="A158" s="2"/>
      <c r="B158" s="2"/>
      <c r="C158" s="2"/>
      <c r="D158" s="2"/>
      <c r="E158" s="2"/>
      <c r="F158" s="2"/>
      <c r="G158" s="2"/>
      <c r="H158" s="2"/>
      <c r="I158" s="2"/>
      <c r="J158" s="2"/>
      <c r="K158" s="2"/>
      <c r="L158" s="2"/>
      <c r="M158" s="2"/>
      <c r="N158" s="2"/>
      <c r="O158" s="2"/>
      <c r="P158" s="3"/>
      <c r="Q158" s="2"/>
      <c r="R158" s="2"/>
      <c r="S158" s="2"/>
      <c r="T158" s="2"/>
      <c r="U158" s="1"/>
    </row>
    <row r="159" spans="1:21" ht="20.100000000000001" customHeight="1" x14ac:dyDescent="0.3">
      <c r="A159" s="2"/>
      <c r="B159" s="2"/>
      <c r="C159" s="2"/>
      <c r="D159" s="2"/>
      <c r="E159" s="2"/>
      <c r="F159" s="2"/>
      <c r="G159" s="2"/>
      <c r="H159" s="2"/>
      <c r="I159" s="2"/>
      <c r="J159" s="2"/>
      <c r="K159" s="2"/>
      <c r="L159" s="2"/>
      <c r="M159" s="2"/>
      <c r="N159" s="2"/>
      <c r="O159" s="2"/>
      <c r="P159" s="3"/>
      <c r="Q159" s="2"/>
      <c r="R159" s="2"/>
      <c r="S159" s="2"/>
      <c r="T159" s="2"/>
      <c r="U159" s="1"/>
    </row>
    <row r="160" spans="1:21" ht="20.100000000000001" customHeight="1" x14ac:dyDescent="0.3">
      <c r="A160" s="2"/>
      <c r="B160" s="2"/>
      <c r="C160" s="2"/>
      <c r="D160" s="2"/>
      <c r="E160" s="2"/>
      <c r="F160" s="2"/>
      <c r="G160" s="2"/>
      <c r="H160" s="2"/>
      <c r="I160" s="2"/>
      <c r="J160" s="2"/>
      <c r="K160" s="2"/>
      <c r="L160" s="2"/>
      <c r="M160" s="2"/>
      <c r="N160" s="2"/>
      <c r="O160" s="2"/>
      <c r="P160" s="3"/>
      <c r="Q160" s="2"/>
      <c r="R160" s="2"/>
      <c r="S160" s="2"/>
      <c r="T160" s="2"/>
      <c r="U160" s="1"/>
    </row>
    <row r="161" spans="1:21" ht="20.100000000000001" customHeight="1" x14ac:dyDescent="0.3">
      <c r="A161" s="2"/>
      <c r="B161" s="2"/>
      <c r="C161" s="2"/>
      <c r="D161" s="2"/>
      <c r="E161" s="2"/>
      <c r="F161" s="2"/>
      <c r="G161" s="2"/>
      <c r="H161" s="2"/>
      <c r="I161" s="2"/>
      <c r="J161" s="2"/>
      <c r="K161" s="2"/>
      <c r="L161" s="2"/>
      <c r="M161" s="2"/>
      <c r="N161" s="2"/>
      <c r="O161" s="2"/>
      <c r="P161" s="3"/>
      <c r="Q161" s="2"/>
      <c r="R161" s="2"/>
      <c r="S161" s="2"/>
      <c r="T161" s="2"/>
      <c r="U161" s="1"/>
    </row>
    <row r="162" spans="1:21" ht="20.100000000000001" customHeight="1" x14ac:dyDescent="0.3">
      <c r="A162" s="2"/>
      <c r="B162" s="2"/>
      <c r="C162" s="2"/>
      <c r="D162" s="2"/>
      <c r="E162" s="2"/>
      <c r="F162" s="2"/>
      <c r="G162" s="2"/>
      <c r="H162" s="2"/>
      <c r="I162" s="2"/>
      <c r="J162" s="2"/>
      <c r="K162" s="2"/>
      <c r="L162" s="2"/>
      <c r="M162" s="2"/>
      <c r="N162" s="2"/>
      <c r="O162" s="2"/>
      <c r="P162" s="3"/>
      <c r="Q162" s="2"/>
      <c r="R162" s="2"/>
      <c r="S162" s="2"/>
      <c r="T162" s="2"/>
      <c r="U162" s="1"/>
    </row>
    <row r="163" spans="1:21" ht="20.100000000000001" customHeight="1" x14ac:dyDescent="0.3">
      <c r="A163" s="2"/>
      <c r="B163" s="2"/>
      <c r="C163" s="2"/>
      <c r="D163" s="2"/>
      <c r="E163" s="2"/>
      <c r="F163" s="2"/>
      <c r="G163" s="2"/>
      <c r="H163" s="2"/>
      <c r="I163" s="2"/>
      <c r="J163" s="2"/>
      <c r="K163" s="2"/>
      <c r="L163" s="2"/>
      <c r="M163" s="2"/>
      <c r="N163" s="2"/>
      <c r="O163" s="2"/>
      <c r="P163" s="3"/>
      <c r="Q163" s="2"/>
      <c r="R163" s="2"/>
      <c r="S163" s="2"/>
      <c r="T163" s="2"/>
      <c r="U163" s="1"/>
    </row>
    <row r="164" spans="1:21" ht="20.100000000000001" customHeight="1" x14ac:dyDescent="0.3">
      <c r="A164" s="2"/>
      <c r="B164" s="2"/>
      <c r="C164" s="2"/>
      <c r="D164" s="2"/>
      <c r="E164" s="2"/>
      <c r="F164" s="2"/>
      <c r="G164" s="2"/>
      <c r="H164" s="2"/>
      <c r="I164" s="2"/>
      <c r="J164" s="2"/>
      <c r="K164" s="2"/>
      <c r="L164" s="2"/>
      <c r="M164" s="2"/>
      <c r="N164" s="2"/>
      <c r="O164" s="2"/>
      <c r="P164" s="3"/>
      <c r="Q164" s="2"/>
      <c r="R164" s="2"/>
      <c r="S164" s="2"/>
      <c r="T164" s="2"/>
      <c r="U164" s="1"/>
    </row>
    <row r="165" spans="1:21" ht="20.100000000000001" customHeight="1" x14ac:dyDescent="0.3">
      <c r="A165" s="2"/>
      <c r="B165" s="2"/>
      <c r="C165" s="2"/>
      <c r="D165" s="2"/>
      <c r="E165" s="2"/>
      <c r="F165" s="2"/>
      <c r="G165" s="2"/>
      <c r="H165" s="2"/>
      <c r="I165" s="2"/>
      <c r="J165" s="2"/>
      <c r="K165" s="2"/>
      <c r="L165" s="2"/>
      <c r="M165" s="2"/>
      <c r="N165" s="2"/>
      <c r="O165" s="2"/>
      <c r="P165" s="3"/>
      <c r="Q165" s="2"/>
      <c r="R165" s="2"/>
      <c r="S165" s="2"/>
      <c r="T165" s="2"/>
      <c r="U165" s="1"/>
    </row>
    <row r="166" spans="1:21" ht="20.100000000000001" customHeight="1" x14ac:dyDescent="0.3">
      <c r="A166" s="2"/>
      <c r="B166" s="2"/>
      <c r="C166" s="2"/>
      <c r="D166" s="2"/>
      <c r="E166" s="2"/>
      <c r="F166" s="2"/>
      <c r="G166" s="2"/>
      <c r="H166" s="2"/>
      <c r="I166" s="2"/>
      <c r="J166" s="2"/>
      <c r="K166" s="2"/>
      <c r="L166" s="2"/>
      <c r="M166" s="2"/>
      <c r="N166" s="2"/>
      <c r="O166" s="2"/>
      <c r="P166" s="3"/>
      <c r="Q166" s="2"/>
      <c r="R166" s="2"/>
      <c r="S166" s="2"/>
      <c r="T166" s="2"/>
      <c r="U166" s="1"/>
    </row>
    <row r="167" spans="1:21" ht="20.100000000000001" customHeight="1" x14ac:dyDescent="0.3">
      <c r="A167" s="2"/>
      <c r="B167" s="2"/>
      <c r="C167" s="2"/>
      <c r="D167" s="2"/>
      <c r="E167" s="2"/>
      <c r="F167" s="2"/>
      <c r="G167" s="2"/>
      <c r="H167" s="2"/>
      <c r="I167" s="2"/>
      <c r="J167" s="2"/>
      <c r="K167" s="2"/>
      <c r="L167" s="2"/>
      <c r="M167" s="2"/>
      <c r="N167" s="2"/>
      <c r="O167" s="2"/>
      <c r="P167" s="3"/>
      <c r="Q167" s="2"/>
      <c r="R167" s="2"/>
      <c r="S167" s="2"/>
      <c r="T167" s="2"/>
      <c r="U167" s="1"/>
    </row>
    <row r="168" spans="1:21" ht="20.100000000000001" customHeight="1" x14ac:dyDescent="0.3">
      <c r="A168" s="2"/>
      <c r="B168" s="2"/>
      <c r="C168" s="2"/>
      <c r="D168" s="2"/>
      <c r="E168" s="2"/>
      <c r="F168" s="2"/>
      <c r="G168" s="2"/>
      <c r="H168" s="2"/>
      <c r="I168" s="2"/>
      <c r="J168" s="2"/>
      <c r="K168" s="2"/>
      <c r="L168" s="2"/>
      <c r="M168" s="2"/>
      <c r="N168" s="2"/>
      <c r="O168" s="2"/>
      <c r="P168" s="3"/>
      <c r="Q168" s="2"/>
      <c r="R168" s="2"/>
      <c r="S168" s="2"/>
      <c r="T168" s="2"/>
      <c r="U168" s="1"/>
    </row>
    <row r="169" spans="1:21" ht="20.100000000000001" customHeight="1" x14ac:dyDescent="0.3">
      <c r="A169" s="2"/>
      <c r="B169" s="2"/>
      <c r="C169" s="2"/>
      <c r="D169" s="2"/>
      <c r="E169" s="2"/>
      <c r="F169" s="2"/>
      <c r="G169" s="2"/>
      <c r="H169" s="2"/>
      <c r="I169" s="2"/>
      <c r="J169" s="2"/>
      <c r="K169" s="2"/>
      <c r="L169" s="2"/>
      <c r="M169" s="2"/>
      <c r="N169" s="2"/>
      <c r="O169" s="2"/>
      <c r="P169" s="3"/>
      <c r="Q169" s="2"/>
      <c r="R169" s="2"/>
      <c r="S169" s="2"/>
      <c r="T169" s="2"/>
      <c r="U169" s="1"/>
    </row>
    <row r="170" spans="1:21" ht="20.100000000000001" customHeight="1" x14ac:dyDescent="0.3">
      <c r="A170" s="2"/>
      <c r="B170" s="2"/>
      <c r="C170" s="2"/>
      <c r="D170" s="2"/>
      <c r="E170" s="2"/>
      <c r="F170" s="2"/>
      <c r="G170" s="2"/>
      <c r="H170" s="2"/>
      <c r="I170" s="2"/>
      <c r="J170" s="2"/>
      <c r="K170" s="2"/>
      <c r="L170" s="2"/>
      <c r="M170" s="2"/>
      <c r="N170" s="2"/>
      <c r="O170" s="2"/>
      <c r="P170" s="3"/>
      <c r="Q170" s="2"/>
      <c r="R170" s="2"/>
      <c r="S170" s="2"/>
      <c r="T170" s="2"/>
      <c r="U170" s="1"/>
    </row>
    <row r="171" spans="1:21" ht="20.100000000000001" customHeight="1" x14ac:dyDescent="0.3">
      <c r="A171" s="2"/>
      <c r="B171" s="2"/>
      <c r="C171" s="2"/>
      <c r="D171" s="2"/>
      <c r="E171" s="2"/>
      <c r="F171" s="2"/>
      <c r="G171" s="2"/>
      <c r="H171" s="2"/>
      <c r="I171" s="2"/>
      <c r="J171" s="2"/>
      <c r="K171" s="2"/>
      <c r="L171" s="2"/>
      <c r="M171" s="2"/>
      <c r="N171" s="2"/>
      <c r="O171" s="2"/>
      <c r="P171" s="3"/>
      <c r="Q171" s="2"/>
      <c r="R171" s="2"/>
      <c r="S171" s="2"/>
      <c r="T171" s="2"/>
      <c r="U171" s="1"/>
    </row>
    <row r="172" spans="1:21" ht="20.100000000000001" customHeight="1" x14ac:dyDescent="0.3">
      <c r="A172" s="2"/>
      <c r="B172" s="2"/>
      <c r="C172" s="2"/>
      <c r="D172" s="2"/>
      <c r="E172" s="2"/>
      <c r="F172" s="2"/>
      <c r="G172" s="2"/>
      <c r="H172" s="2"/>
      <c r="I172" s="2"/>
      <c r="J172" s="2"/>
      <c r="K172" s="2"/>
      <c r="L172" s="2"/>
      <c r="M172" s="2"/>
      <c r="N172" s="2"/>
      <c r="O172" s="2"/>
      <c r="P172" s="3"/>
      <c r="Q172" s="2"/>
      <c r="R172" s="2"/>
      <c r="S172" s="2"/>
      <c r="T172" s="2"/>
      <c r="U172" s="1"/>
    </row>
    <row r="173" spans="1:21" ht="20.100000000000001" customHeight="1" x14ac:dyDescent="0.3">
      <c r="A173" s="2"/>
      <c r="B173" s="2"/>
      <c r="C173" s="2"/>
      <c r="D173" s="2"/>
      <c r="E173" s="2"/>
      <c r="F173" s="2"/>
      <c r="G173" s="2"/>
      <c r="H173" s="2"/>
      <c r="I173" s="2"/>
      <c r="J173" s="2"/>
      <c r="K173" s="2"/>
      <c r="L173" s="2"/>
      <c r="M173" s="2"/>
      <c r="N173" s="2"/>
      <c r="O173" s="2"/>
      <c r="P173" s="3"/>
      <c r="Q173" s="2"/>
      <c r="R173" s="2"/>
      <c r="S173" s="2"/>
      <c r="T173" s="2"/>
      <c r="U173" s="1"/>
    </row>
    <row r="174" spans="1:21" ht="20.100000000000001" customHeight="1" x14ac:dyDescent="0.3">
      <c r="A174" s="2"/>
      <c r="B174" s="2"/>
      <c r="C174" s="2"/>
      <c r="D174" s="2"/>
      <c r="E174" s="2"/>
      <c r="F174" s="2"/>
      <c r="G174" s="2"/>
      <c r="H174" s="2"/>
      <c r="I174" s="2"/>
      <c r="J174" s="2"/>
      <c r="K174" s="2"/>
      <c r="L174" s="2"/>
      <c r="M174" s="2"/>
      <c r="N174" s="2"/>
      <c r="O174" s="2"/>
      <c r="P174" s="3"/>
      <c r="Q174" s="2"/>
      <c r="R174" s="2"/>
      <c r="S174" s="2"/>
      <c r="T174" s="2"/>
      <c r="U174" s="1"/>
    </row>
    <row r="175" spans="1:21" ht="20.100000000000001" customHeight="1" x14ac:dyDescent="0.3">
      <c r="A175" s="2"/>
      <c r="B175" s="2"/>
      <c r="C175" s="2"/>
      <c r="D175" s="2"/>
      <c r="E175" s="2"/>
      <c r="F175" s="2"/>
      <c r="G175" s="2"/>
      <c r="H175" s="2"/>
      <c r="I175" s="2"/>
      <c r="J175" s="2"/>
      <c r="K175" s="2"/>
      <c r="L175" s="2"/>
      <c r="M175" s="2"/>
      <c r="N175" s="2"/>
      <c r="O175" s="2"/>
      <c r="P175" s="3"/>
      <c r="Q175" s="2"/>
      <c r="R175" s="2"/>
      <c r="S175" s="2"/>
      <c r="T175" s="2"/>
      <c r="U175" s="1"/>
    </row>
    <row r="176" spans="1:21" ht="20.100000000000001" customHeight="1" x14ac:dyDescent="0.3">
      <c r="A176" s="2"/>
      <c r="B176" s="2"/>
      <c r="C176" s="2"/>
      <c r="D176" s="2"/>
      <c r="E176" s="2"/>
      <c r="F176" s="2"/>
      <c r="G176" s="2"/>
      <c r="H176" s="2"/>
      <c r="I176" s="2"/>
      <c r="J176" s="2"/>
      <c r="K176" s="2"/>
      <c r="L176" s="2"/>
      <c r="M176" s="2"/>
      <c r="N176" s="2"/>
      <c r="O176" s="2"/>
      <c r="P176" s="3"/>
      <c r="Q176" s="2"/>
      <c r="R176" s="2"/>
      <c r="S176" s="2"/>
      <c r="T176" s="2"/>
      <c r="U176" s="1"/>
    </row>
    <row r="177" spans="1:21" ht="20.100000000000001" customHeight="1" x14ac:dyDescent="0.3">
      <c r="A177" s="2"/>
      <c r="B177" s="2"/>
      <c r="C177" s="2"/>
      <c r="D177" s="2"/>
      <c r="E177" s="2"/>
      <c r="F177" s="2"/>
      <c r="G177" s="2"/>
      <c r="H177" s="2"/>
      <c r="I177" s="2"/>
      <c r="J177" s="2"/>
      <c r="K177" s="2"/>
      <c r="L177" s="2"/>
      <c r="M177" s="2"/>
      <c r="N177" s="2"/>
      <c r="O177" s="2"/>
      <c r="P177" s="3"/>
      <c r="Q177" s="2"/>
      <c r="R177" s="2"/>
      <c r="S177" s="2"/>
      <c r="T177" s="2"/>
      <c r="U177" s="1"/>
    </row>
    <row r="178" spans="1:21" ht="20.100000000000001" customHeight="1" x14ac:dyDescent="0.3">
      <c r="A178" s="2"/>
      <c r="B178" s="2"/>
      <c r="C178" s="2"/>
      <c r="D178" s="2"/>
      <c r="E178" s="2"/>
      <c r="F178" s="2"/>
      <c r="G178" s="2"/>
      <c r="H178" s="2"/>
      <c r="I178" s="2"/>
      <c r="J178" s="2"/>
      <c r="K178" s="2"/>
      <c r="L178" s="2"/>
      <c r="M178" s="2"/>
      <c r="N178" s="2"/>
      <c r="O178" s="2"/>
      <c r="P178" s="3"/>
      <c r="Q178" s="2"/>
      <c r="R178" s="2"/>
      <c r="S178" s="2"/>
      <c r="T178" s="2"/>
      <c r="U178" s="1"/>
    </row>
    <row r="179" spans="1:21" ht="20.100000000000001" customHeight="1" x14ac:dyDescent="0.3">
      <c r="A179" s="2"/>
      <c r="B179" s="2"/>
      <c r="C179" s="2"/>
      <c r="D179" s="2"/>
      <c r="E179" s="2"/>
      <c r="F179" s="2"/>
      <c r="G179" s="2"/>
      <c r="H179" s="2"/>
      <c r="I179" s="2"/>
      <c r="J179" s="2"/>
      <c r="K179" s="2"/>
      <c r="L179" s="2"/>
      <c r="M179" s="2"/>
      <c r="N179" s="2"/>
      <c r="O179" s="2"/>
      <c r="P179" s="3"/>
      <c r="Q179" s="2"/>
      <c r="R179" s="2"/>
      <c r="S179" s="2"/>
      <c r="T179" s="2"/>
      <c r="U179" s="1"/>
    </row>
    <row r="180" spans="1:21" ht="20.100000000000001" customHeight="1" x14ac:dyDescent="0.3">
      <c r="A180" s="2"/>
      <c r="B180" s="2"/>
      <c r="C180" s="2"/>
      <c r="D180" s="2"/>
      <c r="E180" s="2"/>
      <c r="F180" s="2"/>
      <c r="G180" s="2"/>
      <c r="H180" s="2"/>
      <c r="I180" s="2"/>
      <c r="J180" s="2"/>
      <c r="K180" s="2"/>
      <c r="L180" s="2"/>
      <c r="M180" s="2"/>
      <c r="N180" s="2"/>
      <c r="O180" s="2"/>
      <c r="P180" s="3"/>
      <c r="Q180" s="2"/>
      <c r="R180" s="2"/>
      <c r="S180" s="2"/>
      <c r="T180" s="2"/>
      <c r="U180" s="1"/>
    </row>
    <row r="181" spans="1:21" ht="20.100000000000001" customHeight="1" x14ac:dyDescent="0.3">
      <c r="A181" s="2"/>
      <c r="B181" s="2"/>
      <c r="C181" s="2"/>
      <c r="D181" s="2"/>
      <c r="E181" s="2"/>
      <c r="F181" s="2"/>
      <c r="G181" s="2"/>
      <c r="H181" s="2"/>
      <c r="I181" s="2"/>
      <c r="J181" s="2"/>
      <c r="K181" s="2"/>
      <c r="L181" s="2"/>
      <c r="M181" s="2"/>
      <c r="N181" s="2"/>
      <c r="O181" s="2"/>
      <c r="P181" s="3"/>
      <c r="Q181" s="2"/>
      <c r="R181" s="2"/>
      <c r="S181" s="2"/>
      <c r="T181" s="2"/>
      <c r="U181" s="1"/>
    </row>
    <row r="182" spans="1:21" ht="20.100000000000001" customHeight="1" x14ac:dyDescent="0.3">
      <c r="A182" s="2"/>
      <c r="B182" s="2"/>
      <c r="C182" s="2"/>
      <c r="D182" s="2"/>
      <c r="E182" s="2"/>
      <c r="F182" s="2"/>
      <c r="G182" s="2"/>
      <c r="H182" s="2"/>
      <c r="I182" s="2"/>
      <c r="J182" s="2"/>
      <c r="K182" s="2"/>
      <c r="L182" s="2"/>
      <c r="M182" s="2"/>
      <c r="N182" s="2"/>
      <c r="O182" s="2"/>
      <c r="P182" s="3"/>
      <c r="Q182" s="2"/>
      <c r="R182" s="2"/>
      <c r="S182" s="2"/>
      <c r="T182" s="2"/>
      <c r="U182" s="1"/>
    </row>
    <row r="183" spans="1:21" ht="20.100000000000001" customHeight="1" x14ac:dyDescent="0.3">
      <c r="A183" s="2"/>
      <c r="B183" s="2"/>
      <c r="C183" s="2"/>
      <c r="D183" s="2"/>
      <c r="E183" s="2"/>
      <c r="F183" s="2"/>
      <c r="G183" s="2"/>
      <c r="H183" s="2"/>
      <c r="I183" s="2"/>
      <c r="J183" s="2"/>
      <c r="K183" s="2"/>
      <c r="L183" s="2"/>
      <c r="M183" s="2"/>
      <c r="N183" s="2"/>
      <c r="O183" s="2"/>
      <c r="P183" s="3"/>
      <c r="Q183" s="2"/>
      <c r="R183" s="2"/>
      <c r="S183" s="2"/>
      <c r="T183" s="2"/>
      <c r="U183" s="1"/>
    </row>
    <row r="184" spans="1:21" ht="20.100000000000001" customHeight="1" x14ac:dyDescent="0.3">
      <c r="A184" s="2"/>
      <c r="B184" s="2"/>
      <c r="C184" s="2"/>
      <c r="D184" s="2"/>
      <c r="E184" s="2"/>
      <c r="F184" s="2"/>
      <c r="G184" s="2"/>
      <c r="H184" s="2"/>
      <c r="I184" s="2"/>
      <c r="J184" s="2"/>
      <c r="K184" s="2"/>
      <c r="L184" s="2"/>
      <c r="M184" s="2"/>
      <c r="N184" s="2"/>
      <c r="O184" s="2"/>
      <c r="P184" s="3"/>
      <c r="Q184" s="2"/>
      <c r="R184" s="2"/>
      <c r="S184" s="2"/>
      <c r="T184" s="2"/>
      <c r="U184" s="1"/>
    </row>
    <row r="185" spans="1:21" ht="20.100000000000001" customHeight="1" x14ac:dyDescent="0.3">
      <c r="A185" s="2"/>
      <c r="B185" s="2"/>
      <c r="C185" s="2"/>
      <c r="D185" s="2"/>
      <c r="E185" s="2"/>
      <c r="F185" s="2"/>
      <c r="G185" s="2"/>
      <c r="H185" s="2"/>
      <c r="I185" s="2"/>
      <c r="J185" s="2"/>
      <c r="K185" s="2"/>
      <c r="L185" s="2"/>
      <c r="M185" s="2"/>
      <c r="N185" s="2"/>
      <c r="O185" s="2"/>
      <c r="P185" s="3"/>
      <c r="Q185" s="2"/>
      <c r="R185" s="2"/>
      <c r="S185" s="2"/>
      <c r="T185" s="2"/>
      <c r="U185" s="1"/>
    </row>
    <row r="186" spans="1:21" ht="20.100000000000001" customHeight="1" x14ac:dyDescent="0.3">
      <c r="A186" s="2"/>
      <c r="B186" s="2"/>
      <c r="C186" s="2"/>
      <c r="D186" s="2"/>
      <c r="E186" s="2"/>
      <c r="F186" s="2"/>
      <c r="G186" s="2"/>
      <c r="H186" s="2"/>
      <c r="I186" s="2"/>
      <c r="J186" s="2"/>
      <c r="K186" s="2"/>
      <c r="L186" s="2"/>
      <c r="M186" s="2"/>
      <c r="N186" s="2"/>
      <c r="O186" s="2"/>
      <c r="P186" s="3"/>
      <c r="Q186" s="2"/>
      <c r="R186" s="2"/>
      <c r="S186" s="2"/>
      <c r="T186" s="2"/>
      <c r="U186" s="1"/>
    </row>
    <row r="187" spans="1:21" ht="20.100000000000001" customHeight="1" x14ac:dyDescent="0.3">
      <c r="A187" s="2"/>
      <c r="B187" s="2"/>
      <c r="C187" s="2"/>
      <c r="D187" s="2"/>
      <c r="E187" s="2"/>
      <c r="F187" s="2"/>
      <c r="G187" s="2"/>
      <c r="H187" s="2"/>
      <c r="I187" s="2"/>
      <c r="J187" s="2"/>
      <c r="K187" s="2"/>
      <c r="L187" s="2"/>
      <c r="M187" s="2"/>
      <c r="N187" s="2"/>
      <c r="O187" s="2"/>
      <c r="P187" s="3"/>
      <c r="Q187" s="2"/>
      <c r="R187" s="2"/>
      <c r="S187" s="2"/>
      <c r="T187" s="2"/>
      <c r="U187" s="1"/>
    </row>
    <row r="188" spans="1:21" ht="20.100000000000001" customHeight="1" x14ac:dyDescent="0.3">
      <c r="A188" s="2"/>
      <c r="B188" s="2"/>
      <c r="C188" s="2"/>
      <c r="D188" s="2"/>
      <c r="E188" s="2"/>
      <c r="F188" s="2"/>
      <c r="G188" s="2"/>
      <c r="H188" s="2"/>
      <c r="I188" s="2"/>
      <c r="J188" s="2"/>
      <c r="K188" s="2"/>
      <c r="L188" s="2"/>
      <c r="M188" s="2"/>
      <c r="N188" s="2"/>
      <c r="O188" s="2"/>
      <c r="P188" s="3"/>
      <c r="Q188" s="2"/>
      <c r="R188" s="2"/>
      <c r="S188" s="2"/>
      <c r="T188" s="2"/>
      <c r="U188" s="1"/>
    </row>
    <row r="189" spans="1:21" ht="20.100000000000001" customHeight="1" x14ac:dyDescent="0.3">
      <c r="A189" s="2"/>
      <c r="B189" s="2"/>
      <c r="C189" s="2"/>
      <c r="D189" s="2"/>
      <c r="E189" s="2"/>
      <c r="F189" s="2"/>
      <c r="G189" s="2"/>
      <c r="H189" s="2"/>
      <c r="I189" s="2"/>
      <c r="J189" s="2"/>
      <c r="K189" s="2"/>
      <c r="L189" s="2"/>
      <c r="M189" s="2"/>
      <c r="N189" s="2"/>
      <c r="O189" s="2"/>
      <c r="P189" s="3"/>
      <c r="Q189" s="2"/>
      <c r="R189" s="2"/>
      <c r="S189" s="2"/>
      <c r="T189" s="2"/>
      <c r="U189" s="1"/>
    </row>
    <row r="190" spans="1:21" ht="20.100000000000001" customHeight="1" x14ac:dyDescent="0.3">
      <c r="A190" s="2"/>
      <c r="B190" s="2"/>
      <c r="C190" s="2"/>
      <c r="D190" s="2"/>
      <c r="E190" s="2"/>
      <c r="F190" s="2"/>
      <c r="G190" s="2"/>
      <c r="H190" s="2"/>
      <c r="I190" s="2"/>
      <c r="J190" s="2"/>
      <c r="K190" s="2"/>
      <c r="L190" s="2"/>
      <c r="M190" s="2"/>
      <c r="N190" s="2"/>
      <c r="O190" s="2"/>
      <c r="P190" s="3"/>
      <c r="Q190" s="2"/>
      <c r="R190" s="2"/>
      <c r="S190" s="2"/>
      <c r="T190" s="2"/>
      <c r="U190" s="1"/>
    </row>
    <row r="191" spans="1:21" ht="20.100000000000001" customHeight="1" x14ac:dyDescent="0.3">
      <c r="A191" s="2"/>
      <c r="B191" s="2"/>
      <c r="C191" s="2"/>
      <c r="D191" s="2"/>
      <c r="E191" s="2"/>
      <c r="F191" s="2"/>
      <c r="G191" s="2"/>
      <c r="H191" s="2"/>
      <c r="I191" s="2"/>
      <c r="J191" s="2"/>
      <c r="K191" s="2"/>
      <c r="L191" s="2"/>
      <c r="M191" s="2"/>
      <c r="N191" s="2"/>
      <c r="O191" s="2"/>
      <c r="P191" s="3"/>
      <c r="Q191" s="2"/>
      <c r="R191" s="2"/>
      <c r="S191" s="2"/>
      <c r="T191" s="2"/>
      <c r="U191" s="1"/>
    </row>
    <row r="192" spans="1:21" ht="20.100000000000001" customHeight="1" x14ac:dyDescent="0.3">
      <c r="A192" s="2"/>
      <c r="B192" s="2"/>
      <c r="C192" s="2"/>
      <c r="D192" s="2"/>
      <c r="E192" s="2"/>
      <c r="F192" s="2"/>
      <c r="G192" s="2"/>
      <c r="H192" s="2"/>
      <c r="I192" s="2"/>
      <c r="J192" s="2"/>
      <c r="K192" s="2"/>
      <c r="L192" s="2"/>
      <c r="M192" s="2"/>
      <c r="N192" s="2"/>
      <c r="O192" s="2"/>
      <c r="P192" s="3"/>
      <c r="Q192" s="2"/>
      <c r="R192" s="2"/>
      <c r="S192" s="2"/>
      <c r="T192" s="2"/>
      <c r="U192" s="1"/>
    </row>
    <row r="193" spans="1:21" ht="20.100000000000001" customHeight="1" x14ac:dyDescent="0.3">
      <c r="A193" s="2"/>
      <c r="B193" s="2"/>
      <c r="C193" s="2"/>
      <c r="D193" s="2"/>
      <c r="E193" s="2"/>
      <c r="F193" s="2"/>
      <c r="G193" s="2"/>
      <c r="H193" s="2"/>
      <c r="I193" s="2"/>
      <c r="J193" s="2"/>
      <c r="K193" s="2"/>
      <c r="L193" s="2"/>
      <c r="M193" s="2"/>
      <c r="N193" s="2"/>
      <c r="O193" s="2"/>
      <c r="P193" s="3"/>
      <c r="Q193" s="2"/>
      <c r="R193" s="2"/>
      <c r="S193" s="2"/>
      <c r="T193" s="2"/>
      <c r="U193" s="1"/>
    </row>
    <row r="194" spans="1:21" ht="20.100000000000001" customHeight="1" x14ac:dyDescent="0.3">
      <c r="A194" s="2"/>
      <c r="B194" s="2"/>
      <c r="C194" s="2"/>
      <c r="D194" s="2"/>
      <c r="E194" s="2"/>
      <c r="F194" s="2"/>
      <c r="G194" s="2"/>
      <c r="H194" s="2"/>
      <c r="I194" s="2"/>
      <c r="J194" s="2"/>
      <c r="K194" s="2"/>
      <c r="L194" s="2"/>
      <c r="M194" s="2"/>
      <c r="N194" s="2"/>
      <c r="O194" s="2"/>
      <c r="P194" s="3"/>
      <c r="Q194" s="2"/>
      <c r="R194" s="2"/>
      <c r="S194" s="2"/>
      <c r="T194" s="2"/>
      <c r="U194" s="1"/>
    </row>
    <row r="195" spans="1:21" ht="20.100000000000001" customHeight="1" x14ac:dyDescent="0.3">
      <c r="A195" s="2"/>
      <c r="B195" s="2"/>
      <c r="C195" s="2"/>
      <c r="D195" s="2"/>
      <c r="E195" s="2"/>
      <c r="F195" s="2"/>
      <c r="G195" s="2"/>
      <c r="H195" s="2"/>
      <c r="I195" s="2"/>
      <c r="J195" s="2"/>
      <c r="K195" s="2"/>
      <c r="L195" s="2"/>
      <c r="M195" s="2"/>
      <c r="N195" s="2"/>
      <c r="O195" s="2"/>
      <c r="P195" s="3"/>
      <c r="Q195" s="2"/>
      <c r="R195" s="2"/>
      <c r="S195" s="2"/>
      <c r="T195" s="2"/>
      <c r="U195" s="1"/>
    </row>
    <row r="196" spans="1:21" ht="20.100000000000001" customHeight="1" x14ac:dyDescent="0.3">
      <c r="A196" s="2"/>
      <c r="B196" s="2"/>
      <c r="C196" s="2"/>
      <c r="D196" s="2"/>
      <c r="E196" s="2"/>
      <c r="F196" s="2"/>
      <c r="G196" s="2"/>
      <c r="H196" s="2"/>
      <c r="I196" s="2"/>
      <c r="J196" s="2"/>
      <c r="K196" s="2"/>
      <c r="L196" s="2"/>
      <c r="M196" s="2"/>
      <c r="N196" s="2"/>
      <c r="O196" s="2"/>
      <c r="P196" s="3"/>
      <c r="Q196" s="2"/>
      <c r="R196" s="2"/>
      <c r="S196" s="2"/>
      <c r="T196" s="2"/>
      <c r="U196" s="1"/>
    </row>
    <row r="197" spans="1:21" ht="20.100000000000001" customHeight="1" x14ac:dyDescent="0.3">
      <c r="A197" s="2"/>
      <c r="B197" s="2"/>
      <c r="C197" s="2"/>
      <c r="D197" s="2"/>
      <c r="E197" s="2"/>
      <c r="F197" s="2"/>
      <c r="G197" s="2"/>
      <c r="H197" s="2"/>
      <c r="I197" s="2"/>
      <c r="J197" s="2"/>
      <c r="K197" s="2"/>
      <c r="L197" s="2"/>
      <c r="M197" s="2"/>
      <c r="N197" s="2"/>
      <c r="O197" s="2"/>
      <c r="P197" s="3"/>
      <c r="Q197" s="2"/>
      <c r="R197" s="2"/>
      <c r="S197" s="2"/>
      <c r="T197" s="2"/>
      <c r="U197" s="1"/>
    </row>
    <row r="198" spans="1:21" ht="20.100000000000001" customHeight="1" x14ac:dyDescent="0.3">
      <c r="A198" s="2"/>
      <c r="B198" s="2"/>
      <c r="C198" s="2"/>
      <c r="D198" s="2"/>
      <c r="E198" s="2"/>
      <c r="F198" s="2"/>
      <c r="G198" s="2"/>
      <c r="H198" s="2"/>
      <c r="I198" s="2"/>
      <c r="J198" s="2"/>
      <c r="K198" s="2"/>
      <c r="L198" s="2"/>
      <c r="M198" s="2"/>
      <c r="N198" s="2"/>
      <c r="O198" s="2"/>
      <c r="P198" s="3"/>
      <c r="Q198" s="2"/>
      <c r="R198" s="2"/>
      <c r="S198" s="2"/>
      <c r="T198" s="2"/>
      <c r="U198" s="1"/>
    </row>
    <row r="199" spans="1:21" ht="20.100000000000001" customHeight="1" x14ac:dyDescent="0.3">
      <c r="A199" s="2"/>
      <c r="B199" s="2"/>
      <c r="C199" s="2"/>
      <c r="D199" s="2"/>
      <c r="E199" s="2"/>
      <c r="F199" s="2"/>
      <c r="G199" s="2"/>
      <c r="H199" s="2"/>
      <c r="I199" s="2"/>
      <c r="J199" s="2"/>
      <c r="K199" s="2"/>
      <c r="L199" s="2"/>
      <c r="M199" s="2"/>
      <c r="N199" s="2"/>
      <c r="O199" s="2"/>
      <c r="P199" s="3"/>
      <c r="Q199" s="2"/>
      <c r="R199" s="2"/>
      <c r="S199" s="2"/>
      <c r="T199" s="2"/>
      <c r="U199" s="1"/>
    </row>
    <row r="200" spans="1:21" ht="20.100000000000001" customHeight="1" x14ac:dyDescent="0.3">
      <c r="A200" s="2"/>
      <c r="B200" s="2"/>
      <c r="C200" s="2"/>
      <c r="D200" s="2"/>
      <c r="E200" s="2"/>
      <c r="F200" s="2"/>
      <c r="G200" s="2"/>
      <c r="H200" s="2"/>
      <c r="I200" s="2"/>
      <c r="J200" s="2"/>
      <c r="K200" s="2"/>
      <c r="L200" s="2"/>
      <c r="M200" s="2"/>
      <c r="N200" s="2"/>
      <c r="O200" s="2"/>
      <c r="P200" s="3"/>
      <c r="Q200" s="2"/>
      <c r="R200" s="2"/>
      <c r="S200" s="2"/>
      <c r="T200" s="2"/>
      <c r="U200" s="1"/>
    </row>
    <row r="201" spans="1:21" ht="20.100000000000001" customHeight="1" x14ac:dyDescent="0.3">
      <c r="A201" s="2"/>
      <c r="B201" s="2"/>
      <c r="C201" s="2"/>
      <c r="D201" s="2"/>
      <c r="E201" s="2"/>
      <c r="F201" s="2"/>
      <c r="G201" s="2"/>
      <c r="H201" s="2"/>
      <c r="I201" s="2"/>
      <c r="J201" s="2"/>
      <c r="K201" s="2"/>
      <c r="L201" s="2"/>
      <c r="M201" s="2"/>
      <c r="N201" s="2"/>
      <c r="O201" s="2"/>
      <c r="P201" s="3"/>
      <c r="Q201" s="2"/>
      <c r="R201" s="2"/>
      <c r="S201" s="2"/>
      <c r="T201" s="2"/>
      <c r="U201" s="1"/>
    </row>
    <row r="202" spans="1:21" ht="20.100000000000001" customHeight="1" x14ac:dyDescent="0.3">
      <c r="A202" s="2"/>
      <c r="B202" s="2"/>
      <c r="C202" s="2"/>
      <c r="D202" s="2"/>
      <c r="E202" s="2"/>
      <c r="F202" s="2"/>
      <c r="G202" s="2"/>
      <c r="H202" s="2"/>
      <c r="I202" s="2"/>
      <c r="J202" s="2"/>
      <c r="K202" s="2"/>
      <c r="L202" s="2"/>
      <c r="M202" s="2"/>
      <c r="N202" s="2"/>
      <c r="O202" s="2"/>
      <c r="P202" s="3"/>
      <c r="Q202" s="2"/>
      <c r="R202" s="2"/>
      <c r="S202" s="2"/>
      <c r="T202" s="2"/>
      <c r="U202" s="1"/>
    </row>
    <row r="203" spans="1:21" ht="20.100000000000001" customHeight="1" x14ac:dyDescent="0.3">
      <c r="A203" s="2"/>
      <c r="B203" s="2"/>
      <c r="C203" s="2"/>
      <c r="D203" s="2"/>
      <c r="E203" s="2"/>
      <c r="F203" s="2"/>
      <c r="G203" s="2"/>
      <c r="H203" s="2"/>
      <c r="I203" s="2"/>
      <c r="J203" s="2"/>
      <c r="K203" s="2"/>
      <c r="L203" s="2"/>
      <c r="M203" s="2"/>
      <c r="N203" s="2"/>
      <c r="O203" s="2"/>
      <c r="P203" s="3"/>
      <c r="Q203" s="2"/>
      <c r="R203" s="2"/>
      <c r="S203" s="2"/>
      <c r="T203" s="2"/>
      <c r="U203" s="1"/>
    </row>
    <row r="204" spans="1:21" ht="20.100000000000001" customHeight="1" x14ac:dyDescent="0.3">
      <c r="A204" s="2"/>
      <c r="B204" s="2"/>
      <c r="C204" s="2"/>
      <c r="D204" s="2"/>
      <c r="E204" s="2"/>
      <c r="F204" s="2"/>
      <c r="G204" s="2"/>
      <c r="H204" s="2"/>
      <c r="I204" s="2"/>
      <c r="J204" s="2"/>
      <c r="K204" s="2"/>
      <c r="L204" s="2"/>
      <c r="M204" s="2"/>
      <c r="N204" s="2"/>
      <c r="O204" s="2"/>
      <c r="P204" s="3"/>
      <c r="Q204" s="2"/>
      <c r="R204" s="2"/>
      <c r="S204" s="2"/>
      <c r="T204" s="2"/>
      <c r="U204" s="1"/>
    </row>
    <row r="205" spans="1:21" ht="20.100000000000001" customHeight="1" x14ac:dyDescent="0.3">
      <c r="A205" s="2"/>
      <c r="B205" s="2"/>
      <c r="C205" s="2"/>
      <c r="D205" s="2"/>
      <c r="E205" s="2"/>
      <c r="F205" s="2"/>
      <c r="G205" s="2"/>
      <c r="H205" s="2"/>
      <c r="I205" s="2"/>
      <c r="J205" s="2"/>
      <c r="K205" s="2"/>
      <c r="L205" s="2"/>
      <c r="M205" s="2"/>
      <c r="N205" s="2"/>
      <c r="O205" s="2"/>
      <c r="P205" s="3"/>
      <c r="Q205" s="2"/>
      <c r="R205" s="2"/>
      <c r="S205" s="2"/>
      <c r="T205" s="2"/>
      <c r="U205" s="1"/>
    </row>
    <row r="206" spans="1:21" ht="20.100000000000001" customHeight="1" x14ac:dyDescent="0.3">
      <c r="A206" s="2"/>
      <c r="B206" s="2"/>
      <c r="C206" s="2"/>
      <c r="D206" s="2"/>
      <c r="E206" s="2"/>
      <c r="F206" s="2"/>
      <c r="G206" s="2"/>
      <c r="H206" s="2"/>
      <c r="I206" s="2"/>
      <c r="J206" s="2"/>
      <c r="K206" s="2"/>
      <c r="L206" s="2"/>
      <c r="M206" s="2"/>
      <c r="N206" s="2"/>
      <c r="O206" s="2"/>
      <c r="P206" s="3"/>
      <c r="Q206" s="2"/>
      <c r="R206" s="2"/>
      <c r="S206" s="2"/>
      <c r="T206" s="2"/>
      <c r="U206" s="1"/>
    </row>
    <row r="207" spans="1:21" ht="20.100000000000001" customHeight="1" x14ac:dyDescent="0.3">
      <c r="A207" s="2"/>
      <c r="B207" s="2"/>
      <c r="C207" s="2"/>
      <c r="D207" s="2"/>
      <c r="E207" s="2"/>
      <c r="F207" s="2"/>
      <c r="G207" s="2"/>
      <c r="H207" s="2"/>
      <c r="I207" s="2"/>
      <c r="J207" s="2"/>
      <c r="K207" s="2"/>
      <c r="L207" s="2"/>
      <c r="M207" s="2"/>
      <c r="N207" s="2"/>
      <c r="O207" s="2"/>
      <c r="P207" s="3"/>
      <c r="Q207" s="2"/>
      <c r="R207" s="2"/>
      <c r="S207" s="2"/>
      <c r="T207" s="2"/>
      <c r="U207" s="1"/>
    </row>
    <row r="208" spans="1:21" ht="20.100000000000001" customHeight="1" x14ac:dyDescent="0.3">
      <c r="A208" s="2"/>
      <c r="B208" s="2"/>
      <c r="C208" s="2"/>
      <c r="D208" s="2"/>
      <c r="E208" s="2"/>
      <c r="F208" s="2"/>
      <c r="G208" s="2"/>
      <c r="H208" s="2"/>
      <c r="I208" s="2"/>
      <c r="J208" s="2"/>
      <c r="K208" s="2"/>
      <c r="L208" s="2"/>
      <c r="M208" s="2"/>
      <c r="N208" s="2"/>
      <c r="O208" s="2"/>
      <c r="P208" s="3"/>
      <c r="Q208" s="2"/>
      <c r="R208" s="2"/>
      <c r="S208" s="2"/>
      <c r="T208" s="2"/>
      <c r="U208" s="1"/>
    </row>
    <row r="209" spans="1:21" ht="20.100000000000001" customHeight="1" x14ac:dyDescent="0.3">
      <c r="A209" s="2"/>
      <c r="B209" s="2"/>
      <c r="C209" s="2"/>
      <c r="D209" s="2"/>
      <c r="E209" s="2"/>
      <c r="F209" s="2"/>
      <c r="G209" s="2"/>
      <c r="H209" s="2"/>
      <c r="I209" s="2"/>
      <c r="J209" s="2"/>
      <c r="K209" s="2"/>
      <c r="L209" s="2"/>
      <c r="M209" s="2"/>
      <c r="N209" s="2"/>
      <c r="O209" s="2"/>
      <c r="P209" s="3"/>
      <c r="Q209" s="2"/>
      <c r="R209" s="2"/>
      <c r="S209" s="2"/>
      <c r="T209" s="2"/>
      <c r="U209" s="1"/>
    </row>
    <row r="210" spans="1:21" ht="20.100000000000001" customHeight="1" x14ac:dyDescent="0.3">
      <c r="A210" s="2"/>
      <c r="B210" s="2"/>
      <c r="C210" s="2"/>
      <c r="D210" s="2"/>
      <c r="E210" s="2"/>
      <c r="F210" s="2"/>
      <c r="G210" s="2"/>
      <c r="H210" s="2"/>
      <c r="I210" s="2"/>
      <c r="J210" s="2"/>
      <c r="K210" s="2"/>
      <c r="L210" s="2"/>
      <c r="M210" s="2"/>
      <c r="N210" s="2"/>
      <c r="O210" s="2"/>
      <c r="P210" s="3"/>
      <c r="Q210" s="2"/>
      <c r="R210" s="2"/>
      <c r="S210" s="2"/>
      <c r="T210" s="2"/>
      <c r="U210" s="1"/>
    </row>
    <row r="211" spans="1:21" ht="20.100000000000001" customHeight="1" x14ac:dyDescent="0.3">
      <c r="A211" s="2"/>
      <c r="B211" s="2"/>
      <c r="C211" s="2"/>
      <c r="D211" s="2"/>
      <c r="E211" s="2"/>
      <c r="F211" s="2"/>
      <c r="G211" s="2"/>
      <c r="H211" s="2"/>
      <c r="I211" s="2"/>
      <c r="J211" s="2"/>
      <c r="K211" s="2"/>
      <c r="L211" s="2"/>
      <c r="M211" s="2"/>
      <c r="N211" s="2"/>
      <c r="O211" s="2"/>
      <c r="P211" s="3"/>
      <c r="Q211" s="2"/>
      <c r="R211" s="2"/>
      <c r="S211" s="2"/>
      <c r="T211" s="2"/>
      <c r="U211" s="1"/>
    </row>
    <row r="212" spans="1:21" ht="20.100000000000001" customHeight="1" x14ac:dyDescent="0.3">
      <c r="A212" s="2"/>
      <c r="B212" s="2"/>
      <c r="C212" s="2"/>
      <c r="D212" s="2"/>
      <c r="E212" s="2"/>
      <c r="F212" s="2"/>
      <c r="G212" s="2"/>
      <c r="H212" s="2"/>
      <c r="I212" s="2"/>
      <c r="J212" s="2"/>
      <c r="K212" s="2"/>
      <c r="L212" s="2"/>
      <c r="M212" s="2"/>
      <c r="N212" s="2"/>
      <c r="O212" s="2"/>
      <c r="P212" s="3"/>
      <c r="Q212" s="2"/>
      <c r="R212" s="2"/>
      <c r="S212" s="2"/>
      <c r="T212" s="2"/>
      <c r="U212" s="1"/>
    </row>
    <row r="213" spans="1:21" ht="20.100000000000001" customHeight="1" x14ac:dyDescent="0.3">
      <c r="A213" s="2"/>
      <c r="B213" s="2"/>
      <c r="C213" s="2"/>
      <c r="D213" s="2"/>
      <c r="E213" s="2"/>
      <c r="F213" s="2"/>
      <c r="G213" s="2"/>
      <c r="H213" s="2"/>
      <c r="I213" s="2"/>
      <c r="J213" s="2"/>
      <c r="K213" s="2"/>
      <c r="L213" s="2"/>
      <c r="M213" s="2"/>
      <c r="N213" s="2"/>
      <c r="O213" s="2"/>
      <c r="P213" s="3"/>
      <c r="Q213" s="2"/>
      <c r="R213" s="2"/>
      <c r="S213" s="2"/>
      <c r="T213" s="2"/>
      <c r="U213" s="1"/>
    </row>
    <row r="214" spans="1:21" ht="20.100000000000001" customHeight="1" x14ac:dyDescent="0.3">
      <c r="A214" s="2"/>
      <c r="B214" s="2"/>
      <c r="C214" s="2"/>
      <c r="D214" s="2"/>
      <c r="E214" s="2"/>
      <c r="F214" s="2"/>
      <c r="G214" s="2"/>
      <c r="H214" s="2"/>
      <c r="I214" s="2"/>
      <c r="J214" s="2"/>
      <c r="K214" s="2"/>
      <c r="L214" s="2"/>
      <c r="M214" s="2"/>
      <c r="N214" s="2"/>
      <c r="O214" s="2"/>
      <c r="P214" s="3"/>
      <c r="Q214" s="2"/>
      <c r="R214" s="2"/>
      <c r="S214" s="2"/>
      <c r="T214" s="2"/>
      <c r="U214" s="1"/>
    </row>
    <row r="215" spans="1:21" ht="20.100000000000001" customHeight="1" x14ac:dyDescent="0.3">
      <c r="A215" s="2"/>
      <c r="B215" s="2"/>
      <c r="C215" s="2"/>
      <c r="D215" s="2"/>
      <c r="E215" s="2"/>
      <c r="F215" s="2"/>
      <c r="G215" s="2"/>
      <c r="H215" s="2"/>
      <c r="I215" s="2"/>
      <c r="J215" s="2"/>
      <c r="K215" s="2"/>
      <c r="L215" s="2"/>
      <c r="M215" s="2"/>
      <c r="N215" s="2"/>
      <c r="O215" s="2"/>
      <c r="P215" s="3"/>
      <c r="Q215" s="2"/>
      <c r="R215" s="2"/>
      <c r="S215" s="2"/>
      <c r="T215" s="2"/>
      <c r="U215" s="1"/>
    </row>
    <row r="216" spans="1:21" ht="20.100000000000001" customHeight="1" x14ac:dyDescent="0.3">
      <c r="A216" s="2"/>
      <c r="B216" s="2"/>
      <c r="C216" s="2"/>
      <c r="D216" s="2"/>
      <c r="E216" s="2"/>
      <c r="F216" s="2"/>
      <c r="G216" s="2"/>
      <c r="H216" s="2"/>
      <c r="I216" s="2"/>
      <c r="J216" s="2"/>
      <c r="K216" s="2"/>
      <c r="L216" s="2"/>
      <c r="M216" s="2"/>
      <c r="N216" s="2"/>
      <c r="O216" s="2"/>
      <c r="P216" s="3"/>
      <c r="Q216" s="2"/>
      <c r="R216" s="2"/>
      <c r="S216" s="2"/>
      <c r="T216" s="2"/>
      <c r="U216" s="1"/>
    </row>
    <row r="217" spans="1:21" ht="20.100000000000001" customHeight="1" x14ac:dyDescent="0.3">
      <c r="A217" s="2"/>
      <c r="B217" s="2"/>
      <c r="C217" s="2"/>
      <c r="D217" s="2"/>
      <c r="E217" s="2"/>
      <c r="F217" s="2"/>
      <c r="G217" s="2"/>
      <c r="H217" s="2"/>
      <c r="I217" s="2"/>
      <c r="J217" s="2"/>
      <c r="K217" s="2"/>
      <c r="L217" s="2"/>
      <c r="M217" s="2"/>
      <c r="N217" s="2"/>
      <c r="O217" s="2"/>
      <c r="P217" s="3"/>
      <c r="Q217" s="2"/>
      <c r="R217" s="2"/>
      <c r="S217" s="2"/>
      <c r="T217" s="2"/>
      <c r="U217" s="1"/>
    </row>
    <row r="218" spans="1:21" ht="20.100000000000001" customHeight="1" x14ac:dyDescent="0.3">
      <c r="A218" s="2"/>
      <c r="B218" s="2"/>
      <c r="C218" s="2"/>
      <c r="D218" s="2"/>
      <c r="E218" s="2"/>
      <c r="F218" s="2"/>
      <c r="G218" s="2"/>
      <c r="H218" s="2"/>
      <c r="I218" s="2"/>
      <c r="J218" s="2"/>
      <c r="K218" s="2"/>
      <c r="L218" s="2"/>
      <c r="M218" s="2"/>
      <c r="N218" s="2"/>
      <c r="O218" s="2"/>
      <c r="P218" s="3"/>
      <c r="Q218" s="2"/>
      <c r="R218" s="2"/>
      <c r="S218" s="2"/>
      <c r="T218" s="2"/>
      <c r="U218" s="1"/>
    </row>
    <row r="219" spans="1:21" ht="20.100000000000001" customHeight="1" x14ac:dyDescent="0.3">
      <c r="A219" s="2"/>
      <c r="B219" s="2"/>
      <c r="C219" s="2"/>
      <c r="D219" s="2"/>
      <c r="E219" s="2"/>
      <c r="F219" s="2"/>
      <c r="G219" s="2"/>
      <c r="H219" s="2"/>
      <c r="I219" s="2"/>
      <c r="J219" s="2"/>
      <c r="K219" s="2"/>
      <c r="L219" s="2"/>
      <c r="M219" s="2"/>
      <c r="N219" s="2"/>
      <c r="O219" s="2"/>
      <c r="P219" s="3"/>
      <c r="Q219" s="2"/>
      <c r="R219" s="2"/>
      <c r="S219" s="2"/>
      <c r="T219" s="2"/>
      <c r="U219" s="1"/>
    </row>
    <row r="220" spans="1:21" ht="20.100000000000001" customHeight="1" x14ac:dyDescent="0.3">
      <c r="A220" s="2"/>
      <c r="B220" s="2"/>
      <c r="C220" s="2"/>
      <c r="D220" s="2"/>
      <c r="E220" s="2"/>
      <c r="F220" s="2"/>
      <c r="G220" s="2"/>
      <c r="H220" s="2"/>
      <c r="I220" s="2"/>
      <c r="J220" s="2"/>
      <c r="K220" s="2"/>
      <c r="L220" s="2"/>
      <c r="M220" s="2"/>
      <c r="N220" s="2"/>
      <c r="O220" s="2"/>
      <c r="P220" s="3"/>
      <c r="Q220" s="2"/>
      <c r="R220" s="2"/>
      <c r="S220" s="2"/>
      <c r="T220" s="2"/>
      <c r="U220" s="1"/>
    </row>
    <row r="221" spans="1:21" ht="20.100000000000001" customHeight="1" x14ac:dyDescent="0.3">
      <c r="A221" s="2"/>
      <c r="B221" s="2"/>
      <c r="C221" s="2"/>
      <c r="D221" s="2"/>
      <c r="E221" s="2"/>
      <c r="F221" s="2"/>
      <c r="G221" s="2"/>
      <c r="H221" s="2"/>
      <c r="I221" s="2"/>
      <c r="J221" s="2"/>
      <c r="K221" s="2"/>
      <c r="L221" s="2"/>
      <c r="M221" s="2"/>
      <c r="N221" s="2"/>
      <c r="O221" s="2"/>
      <c r="P221" s="3"/>
      <c r="Q221" s="2"/>
      <c r="R221" s="2"/>
      <c r="S221" s="2"/>
      <c r="T221" s="2"/>
      <c r="U221" s="1"/>
    </row>
    <row r="222" spans="1:21" ht="20.100000000000001" customHeight="1" x14ac:dyDescent="0.3">
      <c r="A222" s="2"/>
      <c r="B222" s="2"/>
      <c r="C222" s="2"/>
      <c r="D222" s="2"/>
      <c r="E222" s="2"/>
      <c r="F222" s="2"/>
      <c r="G222" s="2"/>
      <c r="H222" s="2"/>
      <c r="I222" s="2"/>
      <c r="J222" s="2"/>
      <c r="K222" s="2"/>
      <c r="L222" s="2"/>
      <c r="M222" s="2"/>
      <c r="N222" s="2"/>
      <c r="O222" s="2"/>
      <c r="P222" s="3"/>
      <c r="Q222" s="2"/>
      <c r="R222" s="2"/>
      <c r="S222" s="2"/>
      <c r="T222" s="2"/>
      <c r="U222" s="1"/>
    </row>
    <row r="223" spans="1:21" ht="20.100000000000001" customHeight="1" x14ac:dyDescent="0.3">
      <c r="A223" s="2"/>
      <c r="B223" s="2"/>
      <c r="C223" s="2"/>
      <c r="D223" s="2"/>
      <c r="E223" s="2"/>
      <c r="F223" s="2"/>
      <c r="G223" s="2"/>
      <c r="H223" s="2"/>
      <c r="I223" s="2"/>
      <c r="J223" s="2"/>
      <c r="K223" s="2"/>
      <c r="L223" s="2"/>
      <c r="M223" s="2"/>
      <c r="N223" s="2"/>
      <c r="O223" s="2"/>
      <c r="P223" s="3"/>
      <c r="Q223" s="2"/>
      <c r="R223" s="2"/>
      <c r="S223" s="2"/>
      <c r="T223" s="2"/>
      <c r="U223" s="1"/>
    </row>
    <row r="224" spans="1:21" ht="20.100000000000001" customHeight="1" x14ac:dyDescent="0.3">
      <c r="A224" s="2"/>
      <c r="B224" s="2"/>
      <c r="C224" s="2"/>
      <c r="D224" s="2"/>
      <c r="E224" s="2"/>
      <c r="F224" s="2"/>
      <c r="G224" s="2"/>
      <c r="H224" s="2"/>
      <c r="I224" s="2"/>
      <c r="J224" s="2"/>
      <c r="K224" s="2"/>
      <c r="L224" s="2"/>
      <c r="M224" s="2"/>
      <c r="N224" s="2"/>
      <c r="O224" s="2"/>
      <c r="P224" s="3"/>
      <c r="Q224" s="2"/>
      <c r="R224" s="2"/>
      <c r="S224" s="2"/>
      <c r="T224" s="2"/>
      <c r="U224" s="1"/>
    </row>
    <row r="225" spans="1:21" ht="20.100000000000001" customHeight="1" x14ac:dyDescent="0.3">
      <c r="A225" s="2"/>
      <c r="B225" s="2"/>
      <c r="C225" s="2"/>
      <c r="D225" s="2"/>
      <c r="E225" s="2"/>
      <c r="F225" s="2"/>
      <c r="G225" s="2"/>
      <c r="H225" s="2"/>
      <c r="I225" s="2"/>
      <c r="J225" s="2"/>
      <c r="K225" s="2"/>
      <c r="L225" s="2"/>
      <c r="M225" s="2"/>
      <c r="N225" s="2"/>
      <c r="O225" s="2"/>
      <c r="P225" s="3"/>
      <c r="Q225" s="2"/>
      <c r="R225" s="2"/>
      <c r="S225" s="2"/>
      <c r="T225" s="2"/>
      <c r="U225" s="1"/>
    </row>
    <row r="226" spans="1:21" ht="20.100000000000001" customHeight="1" x14ac:dyDescent="0.3">
      <c r="A226" s="2"/>
      <c r="B226" s="2"/>
      <c r="C226" s="2"/>
      <c r="D226" s="2"/>
      <c r="E226" s="2"/>
      <c r="F226" s="2"/>
      <c r="G226" s="2"/>
      <c r="H226" s="2"/>
      <c r="I226" s="2"/>
      <c r="J226" s="2"/>
      <c r="K226" s="2"/>
      <c r="L226" s="2"/>
      <c r="M226" s="2"/>
      <c r="N226" s="2"/>
      <c r="O226" s="2"/>
      <c r="P226" s="3"/>
      <c r="Q226" s="2"/>
      <c r="R226" s="2"/>
      <c r="S226" s="2"/>
      <c r="T226" s="2"/>
      <c r="U226" s="1"/>
    </row>
    <row r="227" spans="1:21" ht="20.100000000000001" customHeight="1" x14ac:dyDescent="0.3">
      <c r="A227" s="2"/>
      <c r="B227" s="2"/>
      <c r="C227" s="2"/>
      <c r="D227" s="2"/>
      <c r="E227" s="2"/>
      <c r="F227" s="2"/>
      <c r="G227" s="2"/>
      <c r="H227" s="2"/>
      <c r="I227" s="2"/>
      <c r="J227" s="2"/>
      <c r="K227" s="2"/>
      <c r="L227" s="2"/>
      <c r="M227" s="2"/>
      <c r="N227" s="2"/>
      <c r="O227" s="2"/>
      <c r="P227" s="3"/>
      <c r="Q227" s="2"/>
      <c r="R227" s="2"/>
      <c r="S227" s="2"/>
      <c r="T227" s="2"/>
      <c r="U227" s="1"/>
    </row>
    <row r="228" spans="1:21" ht="20.100000000000001" customHeight="1" x14ac:dyDescent="0.3">
      <c r="A228" s="2"/>
      <c r="B228" s="2"/>
      <c r="C228" s="2"/>
      <c r="D228" s="2"/>
      <c r="E228" s="2"/>
      <c r="F228" s="2"/>
      <c r="G228" s="2"/>
      <c r="H228" s="2"/>
      <c r="I228" s="2"/>
      <c r="J228" s="2"/>
      <c r="K228" s="2"/>
      <c r="L228" s="2"/>
      <c r="M228" s="2"/>
      <c r="N228" s="2"/>
      <c r="O228" s="2"/>
      <c r="P228" s="3"/>
      <c r="Q228" s="2"/>
      <c r="R228" s="2"/>
      <c r="S228" s="2"/>
      <c r="T228" s="2"/>
      <c r="U228" s="1"/>
    </row>
    <row r="229" spans="1:21" ht="20.100000000000001" customHeight="1" x14ac:dyDescent="0.3">
      <c r="A229" s="2"/>
      <c r="B229" s="2"/>
      <c r="C229" s="2"/>
      <c r="D229" s="2"/>
      <c r="E229" s="2"/>
      <c r="F229" s="2"/>
      <c r="G229" s="2"/>
      <c r="H229" s="2"/>
      <c r="I229" s="2"/>
      <c r="J229" s="2"/>
      <c r="K229" s="2"/>
      <c r="L229" s="2"/>
      <c r="M229" s="2"/>
      <c r="N229" s="2"/>
      <c r="O229" s="2"/>
      <c r="P229" s="3"/>
      <c r="Q229" s="2"/>
      <c r="R229" s="2"/>
      <c r="S229" s="2"/>
      <c r="T229" s="2"/>
      <c r="U229" s="1"/>
    </row>
    <row r="230" spans="1:21" ht="20.100000000000001" customHeight="1" x14ac:dyDescent="0.3">
      <c r="A230" s="2"/>
      <c r="B230" s="2"/>
      <c r="C230" s="2"/>
      <c r="D230" s="2"/>
      <c r="E230" s="2"/>
      <c r="F230" s="2"/>
      <c r="G230" s="2"/>
      <c r="H230" s="2"/>
      <c r="I230" s="2"/>
      <c r="J230" s="2"/>
      <c r="K230" s="2"/>
      <c r="L230" s="2"/>
      <c r="M230" s="2"/>
      <c r="N230" s="2"/>
      <c r="O230" s="2"/>
      <c r="P230" s="3"/>
      <c r="Q230" s="2"/>
      <c r="R230" s="2"/>
      <c r="S230" s="2"/>
      <c r="T230" s="2"/>
      <c r="U230" s="1"/>
    </row>
    <row r="231" spans="1:21" ht="20.100000000000001" customHeight="1" x14ac:dyDescent="0.3">
      <c r="A231" s="2"/>
      <c r="B231" s="2"/>
      <c r="C231" s="2"/>
      <c r="D231" s="2"/>
      <c r="E231" s="2"/>
      <c r="F231" s="2"/>
      <c r="G231" s="2"/>
      <c r="H231" s="2"/>
      <c r="I231" s="2"/>
      <c r="J231" s="2"/>
      <c r="K231" s="2"/>
      <c r="L231" s="2"/>
      <c r="M231" s="2"/>
      <c r="N231" s="2"/>
      <c r="O231" s="2"/>
      <c r="P231" s="3"/>
      <c r="Q231" s="2"/>
      <c r="R231" s="2"/>
      <c r="S231" s="2"/>
      <c r="T231" s="2"/>
      <c r="U231" s="1"/>
    </row>
    <row r="232" spans="1:21" ht="20.100000000000001" customHeight="1" x14ac:dyDescent="0.3">
      <c r="A232" s="2"/>
      <c r="B232" s="2"/>
      <c r="C232" s="2"/>
      <c r="D232" s="2"/>
      <c r="E232" s="2"/>
      <c r="F232" s="2"/>
      <c r="G232" s="2"/>
      <c r="H232" s="2"/>
      <c r="I232" s="2"/>
      <c r="J232" s="2"/>
      <c r="K232" s="2"/>
      <c r="L232" s="2"/>
      <c r="M232" s="2"/>
      <c r="N232" s="2"/>
      <c r="O232" s="2"/>
      <c r="P232" s="3"/>
      <c r="Q232" s="2"/>
      <c r="R232" s="2"/>
      <c r="S232" s="2"/>
      <c r="T232" s="2"/>
      <c r="U232" s="1"/>
    </row>
    <row r="233" spans="1:21" ht="20.100000000000001" customHeight="1" x14ac:dyDescent="0.3">
      <c r="A233" s="2"/>
      <c r="B233" s="2"/>
      <c r="C233" s="2"/>
      <c r="D233" s="2"/>
      <c r="E233" s="2"/>
      <c r="F233" s="2"/>
      <c r="G233" s="2"/>
      <c r="H233" s="2"/>
      <c r="I233" s="2"/>
      <c r="J233" s="2"/>
      <c r="K233" s="2"/>
      <c r="L233" s="2"/>
      <c r="M233" s="2"/>
      <c r="N233" s="2"/>
      <c r="O233" s="2"/>
      <c r="P233" s="3"/>
      <c r="Q233" s="2"/>
      <c r="R233" s="2"/>
      <c r="S233" s="2"/>
      <c r="T233" s="2"/>
      <c r="U233" s="1"/>
    </row>
    <row r="234" spans="1:21" ht="20.100000000000001" customHeight="1" x14ac:dyDescent="0.3">
      <c r="A234" s="2"/>
      <c r="B234" s="2"/>
      <c r="C234" s="2"/>
      <c r="D234" s="2"/>
      <c r="E234" s="2"/>
      <c r="F234" s="2"/>
      <c r="G234" s="2"/>
      <c r="H234" s="2"/>
      <c r="I234" s="2"/>
      <c r="J234" s="2"/>
      <c r="K234" s="2"/>
      <c r="L234" s="2"/>
      <c r="M234" s="2"/>
      <c r="N234" s="2"/>
      <c r="O234" s="2"/>
      <c r="P234" s="3"/>
      <c r="Q234" s="2"/>
      <c r="R234" s="2"/>
      <c r="S234" s="2"/>
      <c r="T234" s="2"/>
      <c r="U234" s="1"/>
    </row>
    <row r="235" spans="1:21" ht="20.100000000000001" customHeight="1" x14ac:dyDescent="0.3">
      <c r="A235" s="2"/>
      <c r="B235" s="2"/>
      <c r="C235" s="2"/>
      <c r="D235" s="2"/>
      <c r="E235" s="2"/>
      <c r="F235" s="2"/>
      <c r="G235" s="2"/>
      <c r="H235" s="2"/>
      <c r="I235" s="2"/>
      <c r="J235" s="2"/>
      <c r="K235" s="2"/>
      <c r="L235" s="2"/>
      <c r="M235" s="2"/>
      <c r="N235" s="2"/>
      <c r="O235" s="2"/>
      <c r="P235" s="3"/>
      <c r="Q235" s="2"/>
      <c r="R235" s="2"/>
      <c r="S235" s="2"/>
      <c r="T235" s="2"/>
      <c r="U235" s="1"/>
    </row>
    <row r="236" spans="1:21" ht="20.100000000000001" customHeight="1" x14ac:dyDescent="0.3">
      <c r="A236" s="2"/>
      <c r="B236" s="2"/>
      <c r="C236" s="2"/>
      <c r="D236" s="2"/>
      <c r="E236" s="2"/>
      <c r="F236" s="2"/>
      <c r="G236" s="2"/>
      <c r="H236" s="2"/>
      <c r="I236" s="2"/>
      <c r="J236" s="2"/>
      <c r="K236" s="2"/>
      <c r="L236" s="2"/>
      <c r="M236" s="2"/>
      <c r="N236" s="2"/>
      <c r="O236" s="2"/>
      <c r="P236" s="3"/>
      <c r="Q236" s="2"/>
      <c r="R236" s="2"/>
      <c r="S236" s="2"/>
      <c r="T236" s="2"/>
      <c r="U236" s="1"/>
    </row>
    <row r="237" spans="1:21" ht="20.100000000000001" customHeight="1" x14ac:dyDescent="0.3">
      <c r="A237" s="2"/>
      <c r="B237" s="2"/>
      <c r="C237" s="2"/>
      <c r="D237" s="2"/>
      <c r="E237" s="2"/>
      <c r="F237" s="2"/>
      <c r="G237" s="2"/>
      <c r="H237" s="2"/>
      <c r="I237" s="2"/>
      <c r="J237" s="2"/>
      <c r="K237" s="2"/>
      <c r="L237" s="2"/>
      <c r="M237" s="2"/>
      <c r="N237" s="2"/>
      <c r="O237" s="2"/>
      <c r="P237" s="3"/>
      <c r="Q237" s="2"/>
      <c r="R237" s="2"/>
      <c r="S237" s="2"/>
      <c r="T237" s="2"/>
      <c r="U237" s="1"/>
    </row>
    <row r="238" spans="1:21" ht="20.100000000000001" customHeight="1" x14ac:dyDescent="0.3">
      <c r="A238" s="2"/>
      <c r="B238" s="2"/>
      <c r="C238" s="2"/>
      <c r="D238" s="2"/>
      <c r="E238" s="2"/>
      <c r="F238" s="2"/>
      <c r="G238" s="2"/>
      <c r="H238" s="2"/>
      <c r="I238" s="2"/>
      <c r="J238" s="2"/>
      <c r="K238" s="2"/>
      <c r="L238" s="2"/>
      <c r="M238" s="2"/>
      <c r="N238" s="2"/>
      <c r="O238" s="2"/>
      <c r="P238" s="3"/>
      <c r="Q238" s="2"/>
      <c r="R238" s="2"/>
      <c r="S238" s="2"/>
      <c r="T238" s="2"/>
      <c r="U238" s="1"/>
    </row>
    <row r="239" spans="1:21" ht="20.100000000000001" customHeight="1" x14ac:dyDescent="0.3">
      <c r="A239" s="2"/>
      <c r="B239" s="2"/>
      <c r="C239" s="2"/>
      <c r="D239" s="2"/>
      <c r="E239" s="2"/>
      <c r="F239" s="2"/>
      <c r="G239" s="2"/>
      <c r="H239" s="2"/>
      <c r="I239" s="2"/>
      <c r="J239" s="2"/>
      <c r="K239" s="2"/>
      <c r="L239" s="2"/>
      <c r="M239" s="2"/>
      <c r="N239" s="2"/>
      <c r="O239" s="2"/>
      <c r="P239" s="3"/>
      <c r="Q239" s="2"/>
      <c r="R239" s="2"/>
      <c r="S239" s="2"/>
      <c r="T239" s="2"/>
      <c r="U239" s="1"/>
    </row>
    <row r="240" spans="1:21" ht="20.100000000000001" customHeight="1" x14ac:dyDescent="0.3">
      <c r="A240" s="2"/>
      <c r="B240" s="2"/>
      <c r="C240" s="2"/>
      <c r="D240" s="2"/>
      <c r="E240" s="2"/>
      <c r="F240" s="2"/>
      <c r="G240" s="2"/>
      <c r="H240" s="2"/>
      <c r="I240" s="2"/>
      <c r="J240" s="2"/>
      <c r="K240" s="2"/>
      <c r="L240" s="2"/>
      <c r="M240" s="2"/>
      <c r="N240" s="2"/>
      <c r="O240" s="2"/>
      <c r="P240" s="3"/>
      <c r="Q240" s="2"/>
      <c r="R240" s="2"/>
      <c r="S240" s="2"/>
      <c r="T240" s="2"/>
      <c r="U240" s="1"/>
    </row>
    <row r="241" spans="1:21" ht="20.100000000000001" customHeight="1" x14ac:dyDescent="0.3">
      <c r="A241" s="2"/>
      <c r="B241" s="2"/>
      <c r="C241" s="2"/>
      <c r="D241" s="2"/>
      <c r="E241" s="2"/>
      <c r="F241" s="2"/>
      <c r="G241" s="2"/>
      <c r="H241" s="2"/>
      <c r="I241" s="2"/>
      <c r="J241" s="2"/>
      <c r="K241" s="2"/>
      <c r="L241" s="2"/>
      <c r="M241" s="2"/>
      <c r="N241" s="2"/>
      <c r="O241" s="2"/>
      <c r="P241" s="3"/>
      <c r="Q241" s="2"/>
      <c r="R241" s="2"/>
      <c r="S241" s="2"/>
      <c r="T241" s="2"/>
      <c r="U241" s="1"/>
    </row>
    <row r="242" spans="1:21" ht="20.100000000000001" customHeight="1" x14ac:dyDescent="0.3">
      <c r="A242" s="2"/>
      <c r="B242" s="2"/>
      <c r="C242" s="2"/>
      <c r="D242" s="2"/>
      <c r="E242" s="2"/>
      <c r="F242" s="2"/>
      <c r="G242" s="2"/>
      <c r="H242" s="2"/>
      <c r="I242" s="2"/>
      <c r="J242" s="2"/>
      <c r="K242" s="2"/>
      <c r="L242" s="2"/>
      <c r="M242" s="2"/>
      <c r="N242" s="2"/>
      <c r="O242" s="2"/>
      <c r="P242" s="3"/>
      <c r="Q242" s="2"/>
      <c r="R242" s="2"/>
      <c r="S242" s="2"/>
      <c r="T242" s="2"/>
      <c r="U242" s="1"/>
    </row>
    <row r="243" spans="1:21" ht="20.100000000000001" customHeight="1" x14ac:dyDescent="0.3">
      <c r="A243" s="2"/>
      <c r="B243" s="2"/>
      <c r="C243" s="2"/>
      <c r="D243" s="2"/>
      <c r="E243" s="2"/>
      <c r="F243" s="2"/>
      <c r="G243" s="2"/>
      <c r="H243" s="2"/>
      <c r="I243" s="2"/>
      <c r="J243" s="2"/>
      <c r="K243" s="2"/>
      <c r="L243" s="2"/>
      <c r="M243" s="2"/>
      <c r="N243" s="2"/>
      <c r="O243" s="2"/>
      <c r="P243" s="3"/>
      <c r="Q243" s="2"/>
      <c r="R243" s="2"/>
      <c r="S243" s="2"/>
      <c r="T243" s="2"/>
      <c r="U243" s="1"/>
    </row>
    <row r="244" spans="1:21" ht="20.100000000000001" customHeight="1" x14ac:dyDescent="0.3">
      <c r="A244" s="2"/>
      <c r="B244" s="2"/>
      <c r="C244" s="2"/>
      <c r="D244" s="2"/>
      <c r="E244" s="2"/>
      <c r="F244" s="2"/>
      <c r="G244" s="2"/>
      <c r="H244" s="2"/>
      <c r="I244" s="2"/>
      <c r="J244" s="2"/>
      <c r="K244" s="2"/>
      <c r="L244" s="2"/>
      <c r="M244" s="2"/>
      <c r="N244" s="2"/>
      <c r="O244" s="2"/>
      <c r="P244" s="3"/>
      <c r="Q244" s="2"/>
      <c r="R244" s="2"/>
      <c r="S244" s="2"/>
      <c r="T244" s="2"/>
      <c r="U244" s="1"/>
    </row>
    <row r="245" spans="1:21" ht="20.100000000000001" customHeight="1" x14ac:dyDescent="0.3">
      <c r="A245" s="2"/>
      <c r="B245" s="2"/>
      <c r="C245" s="2"/>
      <c r="D245" s="2"/>
      <c r="E245" s="2"/>
      <c r="F245" s="2"/>
      <c r="G245" s="2"/>
      <c r="H245" s="2"/>
      <c r="I245" s="2"/>
      <c r="J245" s="2"/>
      <c r="K245" s="2"/>
      <c r="L245" s="2"/>
      <c r="M245" s="2"/>
      <c r="N245" s="2"/>
      <c r="O245" s="2"/>
      <c r="P245" s="3"/>
      <c r="Q245" s="2"/>
      <c r="R245" s="2"/>
      <c r="S245" s="2"/>
      <c r="T245" s="2"/>
      <c r="U245" s="1"/>
    </row>
    <row r="246" spans="1:21" ht="20.100000000000001" customHeight="1" x14ac:dyDescent="0.3">
      <c r="A246" s="2"/>
      <c r="B246" s="2"/>
      <c r="C246" s="2"/>
      <c r="D246" s="2"/>
      <c r="E246" s="2"/>
      <c r="F246" s="2"/>
      <c r="G246" s="2"/>
      <c r="H246" s="2"/>
      <c r="I246" s="2"/>
      <c r="J246" s="2"/>
      <c r="K246" s="2"/>
      <c r="L246" s="2"/>
      <c r="M246" s="2"/>
      <c r="N246" s="2"/>
      <c r="O246" s="2"/>
      <c r="P246" s="3"/>
      <c r="Q246" s="2"/>
      <c r="R246" s="2"/>
      <c r="S246" s="2"/>
      <c r="T246" s="2"/>
      <c r="U246" s="1"/>
    </row>
    <row r="247" spans="1:21" ht="20.100000000000001" customHeight="1" x14ac:dyDescent="0.3">
      <c r="A247" s="2"/>
      <c r="B247" s="2"/>
      <c r="C247" s="2"/>
      <c r="D247" s="2"/>
      <c r="E247" s="2"/>
      <c r="F247" s="2"/>
      <c r="G247" s="2"/>
      <c r="H247" s="2"/>
      <c r="I247" s="2"/>
      <c r="J247" s="2"/>
      <c r="K247" s="2"/>
      <c r="L247" s="2"/>
      <c r="M247" s="2"/>
      <c r="N247" s="2"/>
      <c r="O247" s="2"/>
      <c r="P247" s="3"/>
      <c r="Q247" s="2"/>
      <c r="R247" s="2"/>
      <c r="S247" s="2"/>
      <c r="T247" s="2"/>
      <c r="U247" s="1"/>
    </row>
    <row r="248" spans="1:21" ht="20.100000000000001" customHeight="1" x14ac:dyDescent="0.3">
      <c r="A248" s="2"/>
      <c r="B248" s="2"/>
      <c r="C248" s="2"/>
      <c r="D248" s="2"/>
      <c r="E248" s="2"/>
      <c r="F248" s="2"/>
      <c r="G248" s="2"/>
      <c r="H248" s="2"/>
      <c r="I248" s="2"/>
      <c r="J248" s="2"/>
      <c r="K248" s="2"/>
      <c r="L248" s="2"/>
      <c r="M248" s="2"/>
      <c r="N248" s="2"/>
      <c r="O248" s="2"/>
      <c r="P248" s="3"/>
      <c r="Q248" s="2"/>
      <c r="R248" s="2"/>
      <c r="S248" s="2"/>
      <c r="T248" s="2"/>
      <c r="U248" s="1"/>
    </row>
    <row r="249" spans="1:21" ht="20.100000000000001" customHeight="1" x14ac:dyDescent="0.3">
      <c r="A249" s="2"/>
      <c r="B249" s="2"/>
      <c r="C249" s="2"/>
      <c r="D249" s="2"/>
      <c r="E249" s="2"/>
      <c r="F249" s="2"/>
      <c r="G249" s="2"/>
      <c r="H249" s="2"/>
      <c r="I249" s="2"/>
      <c r="J249" s="2"/>
      <c r="K249" s="2"/>
      <c r="L249" s="2"/>
      <c r="M249" s="2"/>
      <c r="N249" s="2"/>
      <c r="O249" s="2"/>
      <c r="P249" s="3"/>
      <c r="Q249" s="2"/>
      <c r="R249" s="2"/>
      <c r="S249" s="2"/>
      <c r="T249" s="2"/>
      <c r="U249" s="1"/>
    </row>
    <row r="250" spans="1:21" ht="20.100000000000001" customHeight="1" x14ac:dyDescent="0.3">
      <c r="A250" s="2"/>
      <c r="B250" s="2"/>
      <c r="C250" s="2"/>
      <c r="D250" s="2"/>
      <c r="E250" s="2"/>
      <c r="F250" s="2"/>
      <c r="G250" s="2"/>
      <c r="H250" s="2"/>
      <c r="I250" s="2"/>
      <c r="J250" s="2"/>
      <c r="K250" s="2"/>
      <c r="L250" s="2"/>
      <c r="M250" s="2"/>
      <c r="N250" s="2"/>
      <c r="O250" s="2"/>
      <c r="P250" s="3"/>
      <c r="Q250" s="2"/>
      <c r="R250" s="2"/>
      <c r="S250" s="2"/>
      <c r="T250" s="2"/>
      <c r="U250" s="1"/>
    </row>
    <row r="251" spans="1:21" ht="20.100000000000001" customHeight="1" x14ac:dyDescent="0.3">
      <c r="A251" s="2"/>
      <c r="B251" s="2"/>
      <c r="C251" s="2"/>
      <c r="D251" s="2"/>
      <c r="E251" s="2"/>
      <c r="F251" s="2"/>
      <c r="G251" s="2"/>
      <c r="H251" s="2"/>
      <c r="I251" s="2"/>
      <c r="J251" s="2"/>
      <c r="K251" s="2"/>
      <c r="L251" s="2"/>
      <c r="M251" s="2"/>
      <c r="N251" s="2"/>
      <c r="O251" s="2"/>
      <c r="P251" s="3"/>
      <c r="Q251" s="2"/>
      <c r="R251" s="2"/>
      <c r="S251" s="2"/>
      <c r="T251" s="2"/>
      <c r="U251" s="1"/>
    </row>
    <row r="252" spans="1:21" ht="20.100000000000001" customHeight="1" x14ac:dyDescent="0.3">
      <c r="A252" s="2"/>
      <c r="B252" s="2"/>
      <c r="C252" s="2"/>
      <c r="D252" s="2"/>
      <c r="E252" s="2"/>
      <c r="F252" s="2"/>
      <c r="G252" s="2"/>
      <c r="H252" s="2"/>
      <c r="I252" s="2"/>
      <c r="J252" s="2"/>
      <c r="K252" s="2"/>
      <c r="L252" s="2"/>
      <c r="M252" s="2"/>
      <c r="N252" s="2"/>
      <c r="O252" s="2"/>
      <c r="P252" s="3"/>
      <c r="Q252" s="2"/>
      <c r="R252" s="2"/>
      <c r="S252" s="2"/>
      <c r="T252" s="2"/>
      <c r="U252" s="1"/>
    </row>
    <row r="253" spans="1:21" ht="20.100000000000001" customHeight="1" x14ac:dyDescent="0.3">
      <c r="A253" s="2"/>
      <c r="B253" s="2"/>
      <c r="C253" s="2"/>
      <c r="D253" s="2"/>
      <c r="E253" s="2"/>
      <c r="F253" s="2"/>
      <c r="G253" s="2"/>
      <c r="H253" s="2"/>
      <c r="I253" s="2"/>
      <c r="J253" s="2"/>
      <c r="K253" s="2"/>
      <c r="L253" s="2"/>
      <c r="M253" s="2"/>
      <c r="N253" s="2"/>
      <c r="O253" s="2"/>
      <c r="P253" s="3"/>
      <c r="Q253" s="2"/>
      <c r="R253" s="2"/>
      <c r="S253" s="2"/>
      <c r="T253" s="2"/>
      <c r="U253" s="1"/>
    </row>
    <row r="254" spans="1:21" ht="20.100000000000001" customHeight="1" x14ac:dyDescent="0.3">
      <c r="A254" s="2"/>
      <c r="B254" s="2"/>
      <c r="C254" s="2"/>
      <c r="D254" s="2"/>
      <c r="E254" s="2"/>
      <c r="F254" s="2"/>
      <c r="G254" s="2"/>
      <c r="H254" s="2"/>
      <c r="I254" s="2"/>
      <c r="J254" s="2"/>
      <c r="K254" s="2"/>
      <c r="L254" s="2"/>
      <c r="M254" s="2"/>
      <c r="N254" s="2"/>
      <c r="O254" s="2"/>
      <c r="P254" s="3"/>
      <c r="Q254" s="2"/>
      <c r="R254" s="2"/>
      <c r="S254" s="2"/>
      <c r="T254" s="2"/>
      <c r="U254" s="1"/>
    </row>
    <row r="255" spans="1:21" ht="20.100000000000001" customHeight="1" x14ac:dyDescent="0.3">
      <c r="A255" s="2"/>
      <c r="B255" s="2"/>
      <c r="C255" s="2"/>
      <c r="D255" s="2"/>
      <c r="E255" s="2"/>
      <c r="F255" s="2"/>
      <c r="G255" s="2"/>
      <c r="H255" s="2"/>
      <c r="I255" s="2"/>
      <c r="J255" s="2"/>
      <c r="K255" s="2"/>
      <c r="L255" s="2"/>
      <c r="M255" s="2"/>
      <c r="N255" s="2"/>
      <c r="O255" s="2"/>
      <c r="P255" s="3"/>
      <c r="Q255" s="2"/>
      <c r="R255" s="2"/>
      <c r="S255" s="2"/>
      <c r="T255" s="2"/>
      <c r="U255" s="1"/>
    </row>
    <row r="256" spans="1:21" ht="20.100000000000001" customHeight="1" x14ac:dyDescent="0.3">
      <c r="A256" s="2"/>
      <c r="B256" s="2"/>
      <c r="C256" s="2"/>
      <c r="D256" s="2"/>
      <c r="E256" s="2"/>
      <c r="F256" s="2"/>
      <c r="G256" s="2"/>
      <c r="H256" s="2"/>
      <c r="I256" s="2"/>
      <c r="J256" s="2"/>
      <c r="K256" s="2"/>
      <c r="L256" s="2"/>
      <c r="M256" s="2"/>
      <c r="N256" s="2"/>
      <c r="O256" s="2"/>
      <c r="P256" s="3"/>
      <c r="Q256" s="2"/>
      <c r="R256" s="2"/>
      <c r="S256" s="2"/>
      <c r="T256" s="2"/>
      <c r="U256" s="1"/>
    </row>
    <row r="257" spans="1:21" ht="20.100000000000001" customHeight="1" x14ac:dyDescent="0.3">
      <c r="A257" s="2"/>
      <c r="B257" s="2"/>
      <c r="C257" s="2"/>
      <c r="D257" s="2"/>
      <c r="E257" s="2"/>
      <c r="F257" s="2"/>
      <c r="G257" s="2"/>
      <c r="H257" s="2"/>
      <c r="I257" s="2"/>
      <c r="J257" s="2"/>
      <c r="K257" s="2"/>
      <c r="L257" s="2"/>
      <c r="M257" s="2"/>
      <c r="N257" s="2"/>
      <c r="O257" s="2"/>
      <c r="P257" s="3"/>
      <c r="Q257" s="2"/>
      <c r="R257" s="2"/>
      <c r="S257" s="2"/>
      <c r="T257" s="2"/>
      <c r="U257" s="1"/>
    </row>
    <row r="258" spans="1:21" ht="20.100000000000001" customHeight="1" x14ac:dyDescent="0.3">
      <c r="A258" s="2"/>
      <c r="B258" s="2"/>
      <c r="C258" s="2"/>
      <c r="D258" s="2"/>
      <c r="E258" s="2"/>
      <c r="F258" s="2"/>
      <c r="G258" s="2"/>
      <c r="H258" s="2"/>
      <c r="I258" s="2"/>
      <c r="J258" s="2"/>
      <c r="K258" s="2"/>
      <c r="L258" s="2"/>
      <c r="M258" s="2"/>
      <c r="N258" s="2"/>
      <c r="O258" s="2"/>
      <c r="P258" s="3"/>
      <c r="Q258" s="2"/>
      <c r="R258" s="2"/>
      <c r="S258" s="2"/>
      <c r="T258" s="2"/>
      <c r="U258" s="1"/>
    </row>
    <row r="259" spans="1:21" ht="20.100000000000001" customHeight="1" x14ac:dyDescent="0.3">
      <c r="A259" s="2"/>
      <c r="B259" s="2"/>
      <c r="C259" s="2"/>
      <c r="D259" s="2"/>
      <c r="E259" s="2"/>
      <c r="F259" s="2"/>
      <c r="G259" s="2"/>
      <c r="H259" s="2"/>
      <c r="I259" s="2"/>
      <c r="J259" s="2"/>
      <c r="K259" s="2"/>
      <c r="L259" s="2"/>
      <c r="M259" s="2"/>
      <c r="N259" s="2"/>
      <c r="O259" s="2"/>
      <c r="P259" s="3"/>
      <c r="Q259" s="2"/>
      <c r="R259" s="2"/>
      <c r="S259" s="2"/>
      <c r="T259" s="2"/>
      <c r="U259" s="1"/>
    </row>
    <row r="260" spans="1:21" ht="20.100000000000001" customHeight="1" x14ac:dyDescent="0.3">
      <c r="A260" s="2"/>
      <c r="B260" s="2"/>
      <c r="C260" s="2"/>
      <c r="D260" s="2"/>
      <c r="E260" s="2"/>
      <c r="F260" s="2"/>
      <c r="G260" s="2"/>
      <c r="H260" s="2"/>
      <c r="I260" s="2"/>
      <c r="J260" s="2"/>
      <c r="K260" s="2"/>
      <c r="L260" s="2"/>
      <c r="M260" s="2"/>
      <c r="N260" s="2"/>
      <c r="O260" s="2"/>
      <c r="P260" s="3"/>
      <c r="Q260" s="2"/>
      <c r="R260" s="2"/>
      <c r="S260" s="2"/>
      <c r="T260" s="2"/>
      <c r="U260" s="1"/>
    </row>
    <row r="261" spans="1:21" ht="20.100000000000001" customHeight="1" x14ac:dyDescent="0.3">
      <c r="A261" s="2"/>
      <c r="B261" s="2"/>
      <c r="C261" s="2"/>
      <c r="D261" s="2"/>
      <c r="E261" s="2"/>
      <c r="F261" s="2"/>
      <c r="G261" s="2"/>
      <c r="H261" s="2"/>
      <c r="I261" s="2"/>
      <c r="J261" s="2"/>
      <c r="K261" s="2"/>
      <c r="L261" s="2"/>
      <c r="M261" s="2"/>
      <c r="N261" s="2"/>
      <c r="O261" s="2"/>
      <c r="P261" s="3"/>
      <c r="Q261" s="2"/>
      <c r="R261" s="2"/>
      <c r="S261" s="2"/>
      <c r="T261" s="2"/>
      <c r="U261" s="1"/>
    </row>
    <row r="262" spans="1:21" ht="20.100000000000001" customHeight="1" x14ac:dyDescent="0.3">
      <c r="A262" s="2"/>
      <c r="B262" s="2"/>
      <c r="C262" s="2"/>
      <c r="D262" s="2"/>
      <c r="E262" s="2"/>
      <c r="F262" s="2"/>
      <c r="G262" s="2"/>
      <c r="H262" s="2"/>
      <c r="I262" s="2"/>
      <c r="J262" s="2"/>
      <c r="K262" s="2"/>
      <c r="L262" s="2"/>
      <c r="M262" s="2"/>
      <c r="N262" s="2"/>
      <c r="O262" s="2"/>
      <c r="P262" s="3"/>
      <c r="Q262" s="2"/>
      <c r="R262" s="2"/>
      <c r="S262" s="2"/>
      <c r="T262" s="2"/>
      <c r="U262" s="1"/>
    </row>
    <row r="263" spans="1:21" ht="20.100000000000001" customHeight="1" x14ac:dyDescent="0.3">
      <c r="A263" s="2"/>
      <c r="B263" s="2"/>
      <c r="C263" s="2"/>
      <c r="D263" s="2"/>
      <c r="E263" s="2"/>
      <c r="F263" s="2"/>
      <c r="G263" s="2"/>
      <c r="H263" s="2"/>
      <c r="I263" s="2"/>
      <c r="J263" s="2"/>
      <c r="K263" s="2"/>
      <c r="L263" s="2"/>
      <c r="M263" s="2"/>
      <c r="N263" s="2"/>
      <c r="O263" s="2"/>
      <c r="P263" s="3"/>
      <c r="Q263" s="2"/>
      <c r="R263" s="2"/>
      <c r="S263" s="2"/>
      <c r="T263" s="2"/>
      <c r="U263" s="1"/>
    </row>
    <row r="264" spans="1:21" ht="20.100000000000001" customHeight="1" x14ac:dyDescent="0.3">
      <c r="A264" s="2"/>
      <c r="B264" s="2"/>
      <c r="C264" s="2"/>
      <c r="D264" s="2"/>
      <c r="E264" s="2"/>
      <c r="F264" s="2"/>
      <c r="G264" s="2"/>
      <c r="H264" s="2"/>
      <c r="I264" s="2"/>
      <c r="J264" s="2"/>
      <c r="K264" s="2"/>
      <c r="L264" s="2"/>
      <c r="M264" s="2"/>
      <c r="N264" s="2"/>
      <c r="O264" s="2"/>
      <c r="P264" s="3"/>
      <c r="Q264" s="2"/>
      <c r="R264" s="2"/>
      <c r="S264" s="2"/>
      <c r="T264" s="2"/>
      <c r="U264" s="1"/>
    </row>
    <row r="265" spans="1:21" ht="20.100000000000001" customHeight="1" x14ac:dyDescent="0.3">
      <c r="A265" s="2"/>
      <c r="B265" s="2"/>
      <c r="C265" s="2"/>
      <c r="D265" s="2"/>
      <c r="E265" s="2"/>
      <c r="F265" s="2"/>
      <c r="G265" s="2"/>
      <c r="H265" s="2"/>
      <c r="I265" s="2"/>
      <c r="J265" s="2"/>
      <c r="K265" s="2"/>
      <c r="L265" s="2"/>
      <c r="M265" s="2"/>
      <c r="N265" s="2"/>
      <c r="O265" s="2"/>
      <c r="P265" s="3"/>
      <c r="Q265" s="2"/>
      <c r="R265" s="2"/>
      <c r="S265" s="2"/>
      <c r="T265" s="2"/>
      <c r="U265" s="1"/>
    </row>
    <row r="266" spans="1:21" ht="20.100000000000001" customHeight="1" x14ac:dyDescent="0.3">
      <c r="A266" s="2"/>
      <c r="B266" s="2"/>
      <c r="C266" s="2"/>
      <c r="D266" s="2"/>
      <c r="E266" s="2"/>
      <c r="F266" s="2"/>
      <c r="G266" s="2"/>
      <c r="H266" s="2"/>
      <c r="I266" s="2"/>
      <c r="J266" s="2"/>
      <c r="K266" s="2"/>
      <c r="L266" s="2"/>
      <c r="M266" s="2"/>
      <c r="N266" s="2"/>
      <c r="O266" s="2"/>
      <c r="P266" s="3"/>
      <c r="Q266" s="2"/>
      <c r="R266" s="2"/>
      <c r="S266" s="2"/>
      <c r="T266" s="2"/>
      <c r="U266" s="1"/>
    </row>
    <row r="267" spans="1:21" ht="20.100000000000001" customHeight="1" x14ac:dyDescent="0.3">
      <c r="A267" s="2"/>
      <c r="B267" s="2"/>
      <c r="C267" s="2"/>
      <c r="D267" s="2"/>
      <c r="E267" s="2"/>
      <c r="F267" s="2"/>
      <c r="G267" s="2"/>
      <c r="H267" s="2"/>
      <c r="I267" s="2"/>
      <c r="J267" s="2"/>
      <c r="K267" s="2"/>
      <c r="L267" s="2"/>
      <c r="M267" s="2"/>
      <c r="N267" s="2"/>
      <c r="O267" s="2"/>
      <c r="P267" s="3"/>
      <c r="Q267" s="2"/>
      <c r="R267" s="2"/>
      <c r="S267" s="2"/>
      <c r="T267" s="2"/>
      <c r="U267" s="1"/>
    </row>
    <row r="268" spans="1:21" ht="20.100000000000001" customHeight="1" x14ac:dyDescent="0.3">
      <c r="A268" s="2"/>
      <c r="B268" s="2"/>
      <c r="C268" s="2"/>
      <c r="D268" s="2"/>
      <c r="E268" s="2"/>
      <c r="F268" s="2"/>
      <c r="G268" s="2"/>
      <c r="H268" s="2"/>
      <c r="I268" s="2"/>
      <c r="J268" s="2"/>
      <c r="K268" s="2"/>
      <c r="L268" s="2"/>
      <c r="M268" s="2"/>
      <c r="N268" s="2"/>
      <c r="O268" s="2"/>
      <c r="P268" s="3"/>
      <c r="Q268" s="2"/>
      <c r="R268" s="2"/>
      <c r="S268" s="2"/>
      <c r="T268" s="2"/>
      <c r="U268" s="1"/>
    </row>
    <row r="269" spans="1:21" ht="20.100000000000001" customHeight="1" x14ac:dyDescent="0.3">
      <c r="A269" s="2"/>
      <c r="B269" s="2"/>
      <c r="C269" s="2"/>
      <c r="D269" s="2"/>
      <c r="E269" s="2"/>
      <c r="F269" s="2"/>
      <c r="G269" s="2"/>
      <c r="H269" s="2"/>
      <c r="I269" s="2"/>
      <c r="J269" s="2"/>
      <c r="K269" s="2"/>
      <c r="L269" s="2"/>
      <c r="M269" s="2"/>
      <c r="N269" s="2"/>
      <c r="O269" s="2"/>
      <c r="P269" s="3"/>
      <c r="Q269" s="2"/>
      <c r="R269" s="2"/>
      <c r="S269" s="2"/>
      <c r="T269" s="2"/>
      <c r="U269" s="1"/>
    </row>
    <row r="270" spans="1:21" ht="20.100000000000001" customHeight="1" x14ac:dyDescent="0.3">
      <c r="A270" s="2"/>
      <c r="B270" s="2"/>
      <c r="C270" s="2"/>
      <c r="D270" s="2"/>
      <c r="E270" s="2"/>
      <c r="F270" s="2"/>
      <c r="G270" s="2"/>
      <c r="H270" s="2"/>
      <c r="I270" s="2"/>
      <c r="J270" s="2"/>
      <c r="K270" s="2"/>
      <c r="L270" s="2"/>
      <c r="M270" s="2"/>
      <c r="N270" s="2"/>
      <c r="O270" s="2"/>
      <c r="P270" s="3"/>
      <c r="Q270" s="2"/>
      <c r="R270" s="2"/>
      <c r="S270" s="2"/>
      <c r="T270" s="2"/>
      <c r="U270" s="1"/>
    </row>
    <row r="271" spans="1:21" ht="20.100000000000001" customHeight="1" x14ac:dyDescent="0.3">
      <c r="A271" s="2"/>
      <c r="B271" s="2"/>
      <c r="C271" s="2"/>
      <c r="D271" s="2"/>
      <c r="E271" s="2"/>
      <c r="F271" s="2"/>
      <c r="G271" s="2"/>
      <c r="H271" s="2"/>
      <c r="I271" s="2"/>
      <c r="J271" s="2"/>
      <c r="K271" s="2"/>
      <c r="L271" s="2"/>
      <c r="M271" s="2"/>
      <c r="N271" s="2"/>
      <c r="O271" s="2"/>
      <c r="P271" s="3"/>
      <c r="Q271" s="2"/>
      <c r="R271" s="2"/>
      <c r="S271" s="2"/>
      <c r="T271" s="2"/>
      <c r="U271" s="1"/>
    </row>
    <row r="272" spans="1:21" ht="20.100000000000001" customHeight="1" x14ac:dyDescent="0.3">
      <c r="A272" s="2"/>
      <c r="B272" s="2"/>
      <c r="C272" s="2"/>
      <c r="D272" s="2"/>
      <c r="E272" s="2"/>
      <c r="F272" s="2"/>
      <c r="G272" s="2"/>
      <c r="H272" s="2"/>
      <c r="I272" s="2"/>
      <c r="J272" s="2"/>
      <c r="K272" s="2"/>
      <c r="L272" s="2"/>
      <c r="M272" s="2"/>
      <c r="N272" s="2"/>
      <c r="O272" s="2"/>
      <c r="P272" s="3"/>
      <c r="Q272" s="2"/>
      <c r="R272" s="2"/>
      <c r="S272" s="2"/>
      <c r="T272" s="2"/>
      <c r="U272" s="1"/>
    </row>
    <row r="273" spans="1:21" ht="20.100000000000001" customHeight="1" x14ac:dyDescent="0.3">
      <c r="A273" s="2"/>
      <c r="B273" s="2"/>
      <c r="C273" s="2"/>
      <c r="D273" s="2"/>
      <c r="E273" s="2"/>
      <c r="F273" s="2"/>
      <c r="G273" s="2"/>
      <c r="H273" s="2"/>
      <c r="I273" s="2"/>
      <c r="J273" s="2"/>
      <c r="K273" s="2"/>
      <c r="L273" s="2"/>
      <c r="M273" s="2"/>
      <c r="N273" s="2"/>
      <c r="O273" s="2"/>
      <c r="P273" s="3"/>
      <c r="Q273" s="2"/>
      <c r="R273" s="2"/>
      <c r="S273" s="2"/>
      <c r="T273" s="2"/>
      <c r="U273" s="1"/>
    </row>
    <row r="274" spans="1:21" ht="20.100000000000001" customHeight="1" x14ac:dyDescent="0.3">
      <c r="A274" s="2"/>
      <c r="B274" s="2"/>
      <c r="C274" s="2"/>
      <c r="D274" s="2"/>
      <c r="E274" s="2"/>
      <c r="F274" s="2"/>
      <c r="G274" s="2"/>
      <c r="H274" s="2"/>
      <c r="I274" s="2"/>
      <c r="J274" s="2"/>
      <c r="K274" s="2"/>
      <c r="L274" s="2"/>
      <c r="M274" s="2"/>
      <c r="N274" s="2"/>
      <c r="O274" s="2"/>
      <c r="P274" s="3"/>
      <c r="Q274" s="2"/>
      <c r="R274" s="2"/>
      <c r="S274" s="2"/>
      <c r="T274" s="2"/>
      <c r="U274" s="1"/>
    </row>
    <row r="275" spans="1:21" ht="20.100000000000001" customHeight="1" x14ac:dyDescent="0.3">
      <c r="A275" s="2"/>
      <c r="B275" s="2"/>
      <c r="C275" s="2"/>
      <c r="D275" s="2"/>
      <c r="E275" s="2"/>
      <c r="F275" s="2"/>
      <c r="G275" s="2"/>
      <c r="H275" s="2"/>
      <c r="I275" s="2"/>
      <c r="J275" s="2"/>
      <c r="K275" s="2"/>
      <c r="L275" s="2"/>
      <c r="M275" s="2"/>
      <c r="N275" s="2"/>
      <c r="O275" s="2"/>
      <c r="P275" s="3"/>
      <c r="Q275" s="2"/>
      <c r="R275" s="2"/>
      <c r="S275" s="2"/>
      <c r="T275" s="2"/>
      <c r="U275" s="1"/>
    </row>
    <row r="276" spans="1:21" ht="20.100000000000001" customHeight="1" x14ac:dyDescent="0.3">
      <c r="A276" s="2"/>
      <c r="B276" s="2"/>
      <c r="C276" s="2"/>
      <c r="D276" s="2"/>
      <c r="E276" s="2"/>
      <c r="F276" s="2"/>
      <c r="G276" s="2"/>
      <c r="H276" s="2"/>
      <c r="I276" s="2"/>
      <c r="J276" s="2"/>
      <c r="K276" s="2"/>
      <c r="L276" s="2"/>
      <c r="M276" s="2"/>
      <c r="N276" s="2"/>
      <c r="O276" s="2"/>
      <c r="P276" s="3"/>
      <c r="Q276" s="2"/>
      <c r="R276" s="2"/>
      <c r="S276" s="2"/>
      <c r="T276" s="2"/>
      <c r="U276" s="1"/>
    </row>
    <row r="277" spans="1:21" ht="20.100000000000001" customHeight="1" x14ac:dyDescent="0.3">
      <c r="A277" s="2"/>
      <c r="B277" s="2"/>
      <c r="C277" s="2"/>
      <c r="D277" s="2"/>
      <c r="E277" s="2"/>
      <c r="F277" s="2"/>
      <c r="G277" s="2"/>
      <c r="H277" s="2"/>
      <c r="I277" s="2"/>
      <c r="J277" s="2"/>
      <c r="K277" s="2"/>
      <c r="L277" s="2"/>
      <c r="M277" s="2"/>
      <c r="N277" s="2"/>
      <c r="O277" s="2"/>
      <c r="P277" s="3"/>
      <c r="Q277" s="2"/>
      <c r="R277" s="2"/>
      <c r="S277" s="2"/>
      <c r="T277" s="2"/>
      <c r="U277" s="1"/>
    </row>
    <row r="278" spans="1:21" ht="20.100000000000001" customHeight="1" x14ac:dyDescent="0.3">
      <c r="A278" s="2"/>
      <c r="B278" s="2"/>
      <c r="C278" s="2"/>
      <c r="D278" s="2"/>
      <c r="E278" s="2"/>
      <c r="F278" s="2"/>
      <c r="G278" s="2"/>
      <c r="H278" s="2"/>
      <c r="I278" s="2"/>
      <c r="J278" s="2"/>
      <c r="K278" s="2"/>
      <c r="L278" s="2"/>
      <c r="M278" s="2"/>
      <c r="N278" s="2"/>
      <c r="O278" s="2"/>
      <c r="P278" s="3"/>
      <c r="Q278" s="2"/>
      <c r="R278" s="2"/>
      <c r="S278" s="2"/>
      <c r="T278" s="2"/>
      <c r="U278" s="1"/>
    </row>
    <row r="279" spans="1:21" ht="20.100000000000001" customHeight="1" x14ac:dyDescent="0.3">
      <c r="A279" s="2"/>
      <c r="B279" s="2"/>
      <c r="C279" s="2"/>
      <c r="D279" s="2"/>
      <c r="E279" s="2"/>
      <c r="F279" s="2"/>
      <c r="G279" s="2"/>
      <c r="H279" s="2"/>
      <c r="I279" s="2"/>
      <c r="J279" s="2"/>
      <c r="K279" s="2"/>
      <c r="L279" s="2"/>
      <c r="M279" s="2"/>
      <c r="N279" s="2"/>
      <c r="O279" s="2"/>
      <c r="P279" s="3"/>
      <c r="Q279" s="2"/>
      <c r="R279" s="2"/>
      <c r="S279" s="2"/>
      <c r="T279" s="2"/>
      <c r="U279" s="1"/>
    </row>
    <row r="280" spans="1:21" ht="20.100000000000001" customHeight="1" x14ac:dyDescent="0.3">
      <c r="A280" s="2"/>
      <c r="B280" s="2"/>
      <c r="C280" s="2"/>
      <c r="D280" s="2"/>
      <c r="E280" s="2"/>
      <c r="F280" s="2"/>
      <c r="G280" s="2"/>
      <c r="H280" s="2"/>
      <c r="I280" s="2"/>
      <c r="J280" s="2"/>
      <c r="K280" s="2"/>
      <c r="L280" s="2"/>
      <c r="M280" s="2"/>
      <c r="N280" s="2"/>
      <c r="O280" s="2"/>
      <c r="P280" s="3"/>
      <c r="Q280" s="2"/>
      <c r="R280" s="2"/>
      <c r="S280" s="2"/>
      <c r="T280" s="2"/>
      <c r="U280" s="1"/>
    </row>
    <row r="281" spans="1:21" ht="20.100000000000001" customHeight="1" x14ac:dyDescent="0.3">
      <c r="A281" s="2"/>
      <c r="B281" s="2"/>
      <c r="C281" s="2"/>
      <c r="D281" s="2"/>
      <c r="E281" s="2"/>
      <c r="F281" s="2"/>
      <c r="G281" s="2"/>
      <c r="H281" s="2"/>
      <c r="I281" s="2"/>
      <c r="J281" s="2"/>
      <c r="K281" s="2"/>
      <c r="L281" s="2"/>
      <c r="M281" s="2"/>
      <c r="N281" s="2"/>
      <c r="O281" s="2"/>
      <c r="P281" s="3"/>
      <c r="Q281" s="2"/>
      <c r="R281" s="2"/>
      <c r="S281" s="2"/>
      <c r="T281" s="2"/>
      <c r="U281" s="1"/>
    </row>
    <row r="282" spans="1:21" ht="20.100000000000001" customHeight="1" x14ac:dyDescent="0.3">
      <c r="A282" s="2"/>
      <c r="B282" s="2"/>
      <c r="C282" s="2"/>
      <c r="D282" s="2"/>
      <c r="E282" s="2"/>
      <c r="F282" s="2"/>
      <c r="G282" s="2"/>
      <c r="H282" s="2"/>
      <c r="I282" s="2"/>
      <c r="J282" s="2"/>
      <c r="K282" s="2"/>
      <c r="L282" s="2"/>
      <c r="M282" s="2"/>
      <c r="N282" s="2"/>
      <c r="O282" s="2"/>
      <c r="P282" s="3"/>
      <c r="Q282" s="2"/>
      <c r="R282" s="2"/>
      <c r="S282" s="2"/>
      <c r="T282" s="2"/>
      <c r="U282" s="1"/>
    </row>
    <row r="283" spans="1:21" ht="20.100000000000001" customHeight="1" x14ac:dyDescent="0.3">
      <c r="A283" s="2"/>
      <c r="B283" s="2"/>
      <c r="C283" s="2"/>
      <c r="D283" s="2"/>
      <c r="E283" s="2"/>
      <c r="F283" s="2"/>
      <c r="G283" s="2"/>
      <c r="H283" s="2"/>
      <c r="I283" s="2"/>
      <c r="J283" s="2"/>
      <c r="K283" s="2"/>
      <c r="L283" s="2"/>
      <c r="M283" s="2"/>
      <c r="N283" s="2"/>
      <c r="O283" s="2"/>
      <c r="P283" s="3"/>
      <c r="Q283" s="2"/>
      <c r="R283" s="2"/>
      <c r="S283" s="2"/>
      <c r="T283" s="2"/>
      <c r="U283" s="1"/>
    </row>
    <row r="284" spans="1:21" ht="20.100000000000001" customHeight="1" x14ac:dyDescent="0.3">
      <c r="A284" s="2"/>
      <c r="B284" s="2"/>
      <c r="C284" s="2"/>
      <c r="D284" s="2"/>
      <c r="E284" s="2"/>
      <c r="F284" s="2"/>
      <c r="G284" s="2"/>
      <c r="H284" s="2"/>
      <c r="I284" s="2"/>
      <c r="J284" s="2"/>
      <c r="K284" s="2"/>
      <c r="L284" s="2"/>
      <c r="M284" s="2"/>
      <c r="N284" s="2"/>
      <c r="O284" s="2"/>
      <c r="P284" s="3"/>
      <c r="Q284" s="2"/>
      <c r="R284" s="2"/>
      <c r="S284" s="2"/>
      <c r="T284" s="2"/>
      <c r="U284" s="1"/>
    </row>
    <row r="285" spans="1:21" ht="20.100000000000001" customHeight="1" x14ac:dyDescent="0.3">
      <c r="A285" s="2"/>
      <c r="B285" s="2"/>
      <c r="C285" s="2"/>
      <c r="D285" s="2"/>
      <c r="E285" s="2"/>
      <c r="F285" s="2"/>
      <c r="G285" s="2"/>
      <c r="H285" s="2"/>
      <c r="I285" s="2"/>
      <c r="J285" s="2"/>
      <c r="K285" s="2"/>
      <c r="L285" s="2"/>
      <c r="M285" s="2"/>
      <c r="N285" s="2"/>
      <c r="O285" s="2"/>
      <c r="P285" s="3"/>
      <c r="Q285" s="2"/>
      <c r="R285" s="2"/>
      <c r="S285" s="2"/>
      <c r="T285" s="2"/>
      <c r="U285" s="1"/>
    </row>
    <row r="286" spans="1:21" ht="20.100000000000001" customHeight="1" x14ac:dyDescent="0.3">
      <c r="A286" s="2"/>
      <c r="B286" s="2"/>
      <c r="C286" s="2"/>
      <c r="D286" s="2"/>
      <c r="E286" s="2"/>
      <c r="F286" s="2"/>
      <c r="G286" s="2"/>
      <c r="H286" s="2"/>
      <c r="I286" s="2"/>
      <c r="J286" s="2"/>
      <c r="K286" s="2"/>
      <c r="L286" s="2"/>
      <c r="M286" s="2"/>
      <c r="N286" s="2"/>
      <c r="O286" s="2"/>
      <c r="P286" s="3"/>
      <c r="Q286" s="2"/>
      <c r="R286" s="2"/>
      <c r="S286" s="2"/>
      <c r="T286" s="2"/>
      <c r="U286" s="1"/>
    </row>
    <row r="287" spans="1:21" ht="20.100000000000001" customHeight="1" x14ac:dyDescent="0.3">
      <c r="A287" s="2"/>
      <c r="B287" s="2"/>
      <c r="C287" s="2"/>
      <c r="D287" s="2"/>
      <c r="E287" s="2"/>
      <c r="F287" s="2"/>
      <c r="G287" s="2"/>
      <c r="H287" s="2"/>
      <c r="I287" s="2"/>
      <c r="J287" s="2"/>
      <c r="K287" s="2"/>
      <c r="L287" s="2"/>
      <c r="M287" s="2"/>
      <c r="N287" s="2"/>
      <c r="O287" s="2"/>
      <c r="P287" s="3"/>
      <c r="Q287" s="2"/>
      <c r="R287" s="2"/>
      <c r="S287" s="2"/>
      <c r="T287" s="2"/>
      <c r="U287" s="1"/>
    </row>
    <row r="288" spans="1:21" ht="20.100000000000001" customHeight="1" x14ac:dyDescent="0.3">
      <c r="A288" s="2"/>
      <c r="B288" s="2"/>
      <c r="C288" s="2"/>
      <c r="D288" s="2"/>
      <c r="E288" s="2"/>
      <c r="F288" s="2"/>
      <c r="G288" s="2"/>
      <c r="H288" s="2"/>
      <c r="I288" s="2"/>
      <c r="J288" s="2"/>
      <c r="K288" s="2"/>
      <c r="L288" s="2"/>
      <c r="M288" s="2"/>
      <c r="N288" s="2"/>
      <c r="O288" s="2"/>
      <c r="P288" s="3"/>
      <c r="Q288" s="2"/>
      <c r="R288" s="2"/>
      <c r="S288" s="2"/>
      <c r="T288" s="2"/>
      <c r="U288" s="1"/>
    </row>
    <row r="289" spans="1:21" ht="20.100000000000001" customHeight="1" x14ac:dyDescent="0.3">
      <c r="A289" s="2"/>
      <c r="B289" s="2"/>
      <c r="C289" s="2"/>
      <c r="D289" s="2"/>
      <c r="E289" s="2"/>
      <c r="F289" s="2"/>
      <c r="G289" s="2"/>
      <c r="H289" s="2"/>
      <c r="I289" s="2"/>
      <c r="J289" s="2"/>
      <c r="K289" s="2"/>
      <c r="L289" s="2"/>
      <c r="M289" s="2"/>
      <c r="N289" s="2"/>
      <c r="O289" s="2"/>
      <c r="P289" s="3"/>
      <c r="Q289" s="2"/>
      <c r="R289" s="2"/>
      <c r="S289" s="2"/>
      <c r="T289" s="2"/>
      <c r="U289" s="1"/>
    </row>
    <row r="290" spans="1:21" ht="20.100000000000001" customHeight="1" x14ac:dyDescent="0.3">
      <c r="A290" s="2"/>
      <c r="B290" s="2"/>
      <c r="C290" s="2"/>
      <c r="D290" s="2"/>
      <c r="E290" s="2"/>
      <c r="F290" s="2"/>
      <c r="G290" s="2"/>
      <c r="H290" s="2"/>
      <c r="I290" s="2"/>
      <c r="J290" s="2"/>
      <c r="K290" s="2"/>
      <c r="L290" s="2"/>
      <c r="M290" s="2"/>
      <c r="N290" s="2"/>
      <c r="O290" s="2"/>
      <c r="P290" s="3"/>
      <c r="Q290" s="2"/>
      <c r="R290" s="2"/>
      <c r="S290" s="2"/>
      <c r="T290" s="2"/>
      <c r="U290" s="1"/>
    </row>
    <row r="291" spans="1:21" ht="20.100000000000001" customHeight="1" x14ac:dyDescent="0.3">
      <c r="A291" s="2"/>
      <c r="B291" s="2"/>
      <c r="C291" s="2"/>
      <c r="D291" s="2"/>
      <c r="E291" s="2"/>
      <c r="F291" s="2"/>
      <c r="G291" s="2"/>
      <c r="H291" s="2"/>
      <c r="I291" s="2"/>
      <c r="J291" s="2"/>
      <c r="K291" s="2"/>
      <c r="L291" s="2"/>
      <c r="M291" s="2"/>
      <c r="N291" s="2"/>
      <c r="O291" s="2"/>
      <c r="P291" s="3"/>
      <c r="Q291" s="2"/>
      <c r="R291" s="2"/>
      <c r="S291" s="2"/>
      <c r="T291" s="2"/>
      <c r="U291" s="1"/>
    </row>
    <row r="292" spans="1:21" ht="20.100000000000001" customHeight="1" x14ac:dyDescent="0.3">
      <c r="A292" s="2"/>
      <c r="B292" s="2"/>
      <c r="C292" s="2"/>
      <c r="D292" s="2"/>
      <c r="E292" s="2"/>
      <c r="F292" s="2"/>
      <c r="G292" s="2"/>
      <c r="H292" s="2"/>
      <c r="I292" s="2"/>
      <c r="J292" s="2"/>
      <c r="K292" s="2"/>
      <c r="L292" s="2"/>
      <c r="M292" s="2"/>
      <c r="N292" s="2"/>
      <c r="O292" s="2"/>
      <c r="P292" s="3"/>
      <c r="Q292" s="2"/>
      <c r="R292" s="2"/>
      <c r="S292" s="2"/>
      <c r="T292" s="2"/>
      <c r="U292" s="1"/>
    </row>
    <row r="293" spans="1:21" ht="20.100000000000001" customHeight="1" x14ac:dyDescent="0.3">
      <c r="A293" s="2"/>
      <c r="B293" s="2"/>
      <c r="C293" s="2"/>
      <c r="D293" s="2"/>
      <c r="E293" s="2"/>
      <c r="F293" s="2"/>
      <c r="G293" s="2"/>
      <c r="H293" s="2"/>
      <c r="I293" s="2"/>
      <c r="J293" s="2"/>
      <c r="K293" s="2"/>
      <c r="L293" s="2"/>
      <c r="M293" s="2"/>
      <c r="N293" s="2"/>
      <c r="O293" s="2"/>
      <c r="P293" s="3"/>
      <c r="Q293" s="2"/>
      <c r="R293" s="2"/>
      <c r="S293" s="2"/>
      <c r="T293" s="2"/>
      <c r="U293" s="1"/>
    </row>
    <row r="294" spans="1:21" ht="20.100000000000001" customHeight="1" x14ac:dyDescent="0.3">
      <c r="U294" s="1"/>
    </row>
    <row r="295" spans="1:21" ht="20.100000000000001" customHeight="1" x14ac:dyDescent="0.3">
      <c r="U295" s="1"/>
    </row>
    <row r="296" spans="1:21" ht="20.100000000000001" customHeight="1" x14ac:dyDescent="0.3">
      <c r="U296" s="1"/>
    </row>
    <row r="297" spans="1:21" ht="20.100000000000001" customHeight="1" x14ac:dyDescent="0.3">
      <c r="U297" s="1"/>
    </row>
    <row r="298" spans="1:21" ht="20.100000000000001" customHeight="1" x14ac:dyDescent="0.3">
      <c r="U298" s="1"/>
    </row>
    <row r="299" spans="1:21" ht="20.100000000000001" customHeight="1" x14ac:dyDescent="0.3">
      <c r="U299" s="1"/>
    </row>
    <row r="300" spans="1:21" ht="20.100000000000001" customHeight="1" x14ac:dyDescent="0.3">
      <c r="U300" s="1"/>
    </row>
    <row r="301" spans="1:21" ht="20.100000000000001" customHeight="1" x14ac:dyDescent="0.3">
      <c r="U301" s="1"/>
    </row>
    <row r="302" spans="1:21" ht="20.100000000000001" customHeight="1" x14ac:dyDescent="0.3">
      <c r="U302" s="1"/>
    </row>
    <row r="303" spans="1:21" ht="20.100000000000001" customHeight="1" x14ac:dyDescent="0.3">
      <c r="U303" s="1"/>
    </row>
    <row r="304" spans="1:21" ht="20.100000000000001" customHeight="1" x14ac:dyDescent="0.3">
      <c r="U304" s="1"/>
    </row>
    <row r="305" spans="21:21" ht="20.100000000000001" customHeight="1" x14ac:dyDescent="0.3">
      <c r="U305" s="1"/>
    </row>
    <row r="306" spans="21:21" ht="20.100000000000001" customHeight="1" x14ac:dyDescent="0.3">
      <c r="U306" s="1"/>
    </row>
    <row r="307" spans="21:21" ht="20.100000000000001" customHeight="1" x14ac:dyDescent="0.3">
      <c r="U307" s="1"/>
    </row>
    <row r="308" spans="21:21" ht="20.100000000000001" customHeight="1" x14ac:dyDescent="0.3">
      <c r="U308" s="1"/>
    </row>
    <row r="309" spans="21:21" ht="20.100000000000001" customHeight="1" x14ac:dyDescent="0.3">
      <c r="U309" s="1"/>
    </row>
    <row r="310" spans="21:21" ht="20.100000000000001" customHeight="1" x14ac:dyDescent="0.3">
      <c r="U310" s="1"/>
    </row>
    <row r="311" spans="21:21" ht="20.100000000000001" customHeight="1" x14ac:dyDescent="0.3">
      <c r="U311" s="1"/>
    </row>
    <row r="312" spans="21:21" ht="20.100000000000001" customHeight="1" x14ac:dyDescent="0.3">
      <c r="U312" s="1"/>
    </row>
    <row r="313" spans="21:21" ht="20.100000000000001" customHeight="1" x14ac:dyDescent="0.3">
      <c r="U313" s="1"/>
    </row>
    <row r="314" spans="21:21" ht="20.100000000000001" customHeight="1" x14ac:dyDescent="0.3">
      <c r="U314" s="1"/>
    </row>
    <row r="315" spans="21:21" ht="20.100000000000001" customHeight="1" x14ac:dyDescent="0.3">
      <c r="U315" s="1"/>
    </row>
    <row r="316" spans="21:21" ht="20.100000000000001" customHeight="1" x14ac:dyDescent="0.3">
      <c r="U316" s="1"/>
    </row>
    <row r="317" spans="21:21" ht="20.100000000000001" customHeight="1" x14ac:dyDescent="0.3">
      <c r="U317" s="1"/>
    </row>
    <row r="318" spans="21:21" ht="20.100000000000001" customHeight="1" x14ac:dyDescent="0.3">
      <c r="U318" s="1"/>
    </row>
    <row r="319" spans="21:21" ht="20.100000000000001" customHeight="1" x14ac:dyDescent="0.3">
      <c r="U319" s="1"/>
    </row>
    <row r="320" spans="21:21" ht="20.100000000000001" customHeight="1" x14ac:dyDescent="0.3">
      <c r="U320" s="1"/>
    </row>
    <row r="321" spans="21:21" ht="20.100000000000001" customHeight="1" x14ac:dyDescent="0.3">
      <c r="U321" s="1"/>
    </row>
    <row r="322" spans="21:21" ht="20.100000000000001" customHeight="1" x14ac:dyDescent="0.3">
      <c r="U322" s="1"/>
    </row>
    <row r="323" spans="21:21" ht="20.100000000000001" customHeight="1" x14ac:dyDescent="0.3">
      <c r="U323" s="1"/>
    </row>
    <row r="324" spans="21:21" ht="20.100000000000001" customHeight="1" x14ac:dyDescent="0.3">
      <c r="U324" s="1"/>
    </row>
    <row r="325" spans="21:21" ht="20.100000000000001" customHeight="1" x14ac:dyDescent="0.3">
      <c r="U325" s="1"/>
    </row>
    <row r="326" spans="21:21" ht="20.100000000000001" customHeight="1" x14ac:dyDescent="0.3">
      <c r="U326" s="1"/>
    </row>
    <row r="327" spans="21:21" ht="20.100000000000001" customHeight="1" x14ac:dyDescent="0.3">
      <c r="U327" s="1"/>
    </row>
    <row r="328" spans="21:21" ht="20.100000000000001" customHeight="1" x14ac:dyDescent="0.3">
      <c r="U328" s="1"/>
    </row>
    <row r="329" spans="21:21" ht="20.100000000000001" customHeight="1" x14ac:dyDescent="0.3">
      <c r="U329" s="1"/>
    </row>
    <row r="330" spans="21:21" ht="20.100000000000001" customHeight="1" x14ac:dyDescent="0.3">
      <c r="U330" s="1"/>
    </row>
    <row r="331" spans="21:21" ht="20.100000000000001" customHeight="1" x14ac:dyDescent="0.3">
      <c r="U331" s="1"/>
    </row>
    <row r="332" spans="21:21" ht="20.100000000000001" customHeight="1" x14ac:dyDescent="0.3">
      <c r="U332" s="1"/>
    </row>
    <row r="333" spans="21:21" ht="20.100000000000001" customHeight="1" x14ac:dyDescent="0.3">
      <c r="U333" s="1"/>
    </row>
    <row r="334" spans="21:21" ht="20.100000000000001" customHeight="1" x14ac:dyDescent="0.3">
      <c r="U334" s="1"/>
    </row>
    <row r="335" spans="21:21" ht="20.100000000000001" customHeight="1" x14ac:dyDescent="0.3">
      <c r="U335" s="1"/>
    </row>
    <row r="336" spans="21:21" ht="20.100000000000001" customHeight="1" x14ac:dyDescent="0.3">
      <c r="U336" s="1"/>
    </row>
    <row r="337" spans="21:21" ht="20.100000000000001" customHeight="1" x14ac:dyDescent="0.3">
      <c r="U337" s="1"/>
    </row>
    <row r="338" spans="21:21" ht="20.100000000000001" customHeight="1" x14ac:dyDescent="0.3">
      <c r="U338" s="1"/>
    </row>
    <row r="339" spans="21:21" ht="20.100000000000001" customHeight="1" x14ac:dyDescent="0.3">
      <c r="U339" s="1"/>
    </row>
    <row r="340" spans="21:21" ht="20.100000000000001" customHeight="1" x14ac:dyDescent="0.3">
      <c r="U340" s="1"/>
    </row>
    <row r="341" spans="21:21" ht="20.100000000000001" customHeight="1" x14ac:dyDescent="0.3">
      <c r="U341" s="1"/>
    </row>
    <row r="342" spans="21:21" ht="20.100000000000001" customHeight="1" x14ac:dyDescent="0.3">
      <c r="U342" s="1"/>
    </row>
    <row r="343" spans="21:21" ht="20.100000000000001" customHeight="1" x14ac:dyDescent="0.3">
      <c r="U343" s="1"/>
    </row>
    <row r="344" spans="21:21" ht="20.100000000000001" customHeight="1" x14ac:dyDescent="0.3">
      <c r="U344" s="1"/>
    </row>
    <row r="345" spans="21:21" ht="20.100000000000001" customHeight="1" x14ac:dyDescent="0.3">
      <c r="U345" s="1"/>
    </row>
    <row r="346" spans="21:21" ht="20.100000000000001" customHeight="1" x14ac:dyDescent="0.3">
      <c r="U346" s="1"/>
    </row>
    <row r="347" spans="21:21" ht="20.100000000000001" customHeight="1" x14ac:dyDescent="0.3">
      <c r="U347" s="1"/>
    </row>
    <row r="348" spans="21:21" ht="20.100000000000001" customHeight="1" x14ac:dyDescent="0.3">
      <c r="U348" s="1"/>
    </row>
    <row r="349" spans="21:21" ht="20.100000000000001" customHeight="1" x14ac:dyDescent="0.3">
      <c r="U349" s="1"/>
    </row>
    <row r="350" spans="21:21" ht="20.100000000000001" customHeight="1" x14ac:dyDescent="0.3">
      <c r="U350" s="1"/>
    </row>
    <row r="351" spans="21:21" ht="20.100000000000001" customHeight="1" x14ac:dyDescent="0.3">
      <c r="U351" s="1"/>
    </row>
    <row r="352" spans="21:21" ht="20.100000000000001" customHeight="1" x14ac:dyDescent="0.3">
      <c r="U352" s="1"/>
    </row>
    <row r="353" spans="21:21" ht="20.100000000000001" customHeight="1" x14ac:dyDescent="0.3">
      <c r="U353" s="1"/>
    </row>
    <row r="354" spans="21:21" ht="20.100000000000001" customHeight="1" x14ac:dyDescent="0.3">
      <c r="U354" s="1"/>
    </row>
    <row r="355" spans="21:21" ht="20.100000000000001" customHeight="1" x14ac:dyDescent="0.3">
      <c r="U355" s="1"/>
    </row>
    <row r="356" spans="21:21" ht="20.100000000000001" customHeight="1" x14ac:dyDescent="0.3">
      <c r="U356" s="1"/>
    </row>
    <row r="357" spans="21:21" ht="20.100000000000001" customHeight="1" x14ac:dyDescent="0.3">
      <c r="U357" s="1"/>
    </row>
    <row r="358" spans="21:21" ht="20.100000000000001" customHeight="1" x14ac:dyDescent="0.3">
      <c r="U358" s="1"/>
    </row>
    <row r="359" spans="21:21" ht="20.100000000000001" customHeight="1" x14ac:dyDescent="0.3">
      <c r="U359" s="1"/>
    </row>
    <row r="360" spans="21:21" ht="20.100000000000001" customHeight="1" x14ac:dyDescent="0.3">
      <c r="U360" s="1"/>
    </row>
    <row r="361" spans="21:21" ht="20.100000000000001" customHeight="1" x14ac:dyDescent="0.3">
      <c r="U361" s="1"/>
    </row>
    <row r="362" spans="21:21" ht="20.100000000000001" customHeight="1" x14ac:dyDescent="0.3">
      <c r="U362" s="1"/>
    </row>
    <row r="363" spans="21:21" ht="20.100000000000001" customHeight="1" x14ac:dyDescent="0.3">
      <c r="U363" s="1"/>
    </row>
    <row r="364" spans="21:21" ht="20.100000000000001" customHeight="1" x14ac:dyDescent="0.3">
      <c r="U364" s="1"/>
    </row>
    <row r="365" spans="21:21" ht="20.100000000000001" customHeight="1" x14ac:dyDescent="0.3">
      <c r="U365" s="1"/>
    </row>
    <row r="366" spans="21:21" ht="20.100000000000001" customHeight="1" x14ac:dyDescent="0.3">
      <c r="U366" s="1"/>
    </row>
    <row r="367" spans="21:21" ht="20.100000000000001" customHeight="1" x14ac:dyDescent="0.3">
      <c r="U367" s="1"/>
    </row>
    <row r="368" spans="21:21" ht="20.100000000000001" customHeight="1" x14ac:dyDescent="0.3">
      <c r="U368" s="1"/>
    </row>
    <row r="369" spans="21:21" ht="20.100000000000001" customHeight="1" x14ac:dyDescent="0.3">
      <c r="U369" s="1"/>
    </row>
    <row r="370" spans="21:21" ht="20.100000000000001" customHeight="1" x14ac:dyDescent="0.3">
      <c r="U370" s="1"/>
    </row>
    <row r="371" spans="21:21" ht="20.100000000000001" customHeight="1" x14ac:dyDescent="0.3">
      <c r="U371" s="1"/>
    </row>
    <row r="372" spans="21:21" ht="20.100000000000001" customHeight="1" x14ac:dyDescent="0.3">
      <c r="U372" s="1"/>
    </row>
    <row r="373" spans="21:21" ht="20.100000000000001" customHeight="1" x14ac:dyDescent="0.3">
      <c r="U373" s="1"/>
    </row>
    <row r="374" spans="21:21" ht="20.100000000000001" customHeight="1" x14ac:dyDescent="0.3">
      <c r="U374" s="1"/>
    </row>
    <row r="375" spans="21:21" ht="20.100000000000001" customHeight="1" x14ac:dyDescent="0.3">
      <c r="U375" s="1"/>
    </row>
    <row r="376" spans="21:21" ht="20.100000000000001" customHeight="1" x14ac:dyDescent="0.3">
      <c r="U376" s="1"/>
    </row>
    <row r="377" spans="21:21" ht="20.100000000000001" customHeight="1" x14ac:dyDescent="0.3">
      <c r="U377" s="1"/>
    </row>
    <row r="378" spans="21:21" ht="20.100000000000001" customHeight="1" x14ac:dyDescent="0.3">
      <c r="U378" s="1"/>
    </row>
    <row r="379" spans="21:21" ht="20.100000000000001" customHeight="1" x14ac:dyDescent="0.3">
      <c r="U379" s="1"/>
    </row>
    <row r="380" spans="21:21" ht="20.100000000000001" customHeight="1" x14ac:dyDescent="0.3">
      <c r="U380" s="1"/>
    </row>
    <row r="381" spans="21:21" ht="20.100000000000001" customHeight="1" x14ac:dyDescent="0.3">
      <c r="U381" s="1"/>
    </row>
    <row r="382" spans="21:21" ht="20.100000000000001" customHeight="1" x14ac:dyDescent="0.3">
      <c r="U382" s="1"/>
    </row>
    <row r="383" spans="21:21" ht="20.100000000000001" customHeight="1" x14ac:dyDescent="0.3">
      <c r="U383" s="1"/>
    </row>
    <row r="384" spans="21:21" ht="20.100000000000001" customHeight="1" x14ac:dyDescent="0.3">
      <c r="U384" s="1"/>
    </row>
    <row r="385" spans="21:21" ht="20.100000000000001" customHeight="1" x14ac:dyDescent="0.3">
      <c r="U385" s="1"/>
    </row>
    <row r="386" spans="21:21" ht="20.100000000000001" customHeight="1" x14ac:dyDescent="0.3">
      <c r="U386" s="1"/>
    </row>
    <row r="387" spans="21:21" ht="20.100000000000001" customHeight="1" x14ac:dyDescent="0.3">
      <c r="U387" s="1"/>
    </row>
    <row r="388" spans="21:21" ht="20.100000000000001" customHeight="1" x14ac:dyDescent="0.3">
      <c r="U388" s="1"/>
    </row>
    <row r="389" spans="21:21" ht="20.100000000000001" customHeight="1" x14ac:dyDescent="0.3">
      <c r="U389" s="1"/>
    </row>
    <row r="390" spans="21:21" ht="20.100000000000001" customHeight="1" x14ac:dyDescent="0.3">
      <c r="U390" s="1"/>
    </row>
    <row r="391" spans="21:21" ht="20.100000000000001" customHeight="1" x14ac:dyDescent="0.3">
      <c r="U391" s="1"/>
    </row>
    <row r="392" spans="21:21" ht="20.100000000000001" customHeight="1" x14ac:dyDescent="0.3">
      <c r="U392" s="1"/>
    </row>
    <row r="393" spans="21:21" ht="20.100000000000001" customHeight="1" x14ac:dyDescent="0.3">
      <c r="U393" s="1"/>
    </row>
    <row r="394" spans="21:21" ht="20.100000000000001" customHeight="1" x14ac:dyDescent="0.3">
      <c r="U394" s="1"/>
    </row>
    <row r="395" spans="21:21" ht="20.100000000000001" customHeight="1" x14ac:dyDescent="0.3">
      <c r="U395" s="1"/>
    </row>
    <row r="396" spans="21:21" ht="20.100000000000001" customHeight="1" x14ac:dyDescent="0.3">
      <c r="U396" s="1"/>
    </row>
    <row r="397" spans="21:21" ht="20.100000000000001" customHeight="1" x14ac:dyDescent="0.3">
      <c r="U397" s="1"/>
    </row>
    <row r="398" spans="21:21" ht="20.100000000000001" customHeight="1" x14ac:dyDescent="0.3">
      <c r="U398" s="1"/>
    </row>
    <row r="399" spans="21:21" ht="20.100000000000001" customHeight="1" x14ac:dyDescent="0.3">
      <c r="U399" s="1"/>
    </row>
    <row r="400" spans="21:21" ht="20.100000000000001" customHeight="1" x14ac:dyDescent="0.3">
      <c r="U400" s="1"/>
    </row>
    <row r="401" spans="21:21" ht="20.100000000000001" customHeight="1" x14ac:dyDescent="0.3">
      <c r="U401" s="1"/>
    </row>
    <row r="402" spans="21:21" ht="20.100000000000001" customHeight="1" x14ac:dyDescent="0.3">
      <c r="U402" s="1"/>
    </row>
    <row r="403" spans="21:21" ht="20.100000000000001" customHeight="1" x14ac:dyDescent="0.3">
      <c r="U403" s="1"/>
    </row>
    <row r="404" spans="21:21" ht="20.100000000000001" customHeight="1" x14ac:dyDescent="0.3">
      <c r="U404" s="1"/>
    </row>
    <row r="405" spans="21:21" ht="20.100000000000001" customHeight="1" x14ac:dyDescent="0.3">
      <c r="U405" s="1"/>
    </row>
    <row r="406" spans="21:21" ht="20.100000000000001" customHeight="1" x14ac:dyDescent="0.3">
      <c r="U406" s="1"/>
    </row>
    <row r="407" spans="21:21" ht="20.100000000000001" customHeight="1" x14ac:dyDescent="0.3">
      <c r="U407" s="1"/>
    </row>
    <row r="408" spans="21:21" ht="20.100000000000001" customHeight="1" x14ac:dyDescent="0.3">
      <c r="U408" s="1"/>
    </row>
    <row r="409" spans="21:21" ht="20.100000000000001" customHeight="1" x14ac:dyDescent="0.3">
      <c r="U409" s="1"/>
    </row>
    <row r="410" spans="21:21" ht="20.100000000000001" customHeight="1" x14ac:dyDescent="0.3">
      <c r="U410" s="1"/>
    </row>
    <row r="411" spans="21:21" ht="20.100000000000001" customHeight="1" x14ac:dyDescent="0.3">
      <c r="U411" s="1"/>
    </row>
    <row r="412" spans="21:21" ht="20.100000000000001" customHeight="1" x14ac:dyDescent="0.3">
      <c r="U412" s="1"/>
    </row>
    <row r="413" spans="21:21" ht="20.100000000000001" customHeight="1" x14ac:dyDescent="0.3">
      <c r="U413" s="1"/>
    </row>
    <row r="414" spans="21:21" ht="20.100000000000001" customHeight="1" x14ac:dyDescent="0.3">
      <c r="U414" s="1"/>
    </row>
    <row r="415" spans="21:21" ht="20.100000000000001" customHeight="1" x14ac:dyDescent="0.3">
      <c r="U415" s="1"/>
    </row>
    <row r="416" spans="21:21" ht="20.100000000000001" customHeight="1" x14ac:dyDescent="0.3">
      <c r="U416" s="1"/>
    </row>
    <row r="417" spans="21:21" ht="20.100000000000001" customHeight="1" x14ac:dyDescent="0.3">
      <c r="U417" s="1"/>
    </row>
    <row r="418" spans="21:21" ht="20.100000000000001" customHeight="1" x14ac:dyDescent="0.3">
      <c r="U418" s="1"/>
    </row>
    <row r="419" spans="21:21" ht="20.100000000000001" customHeight="1" x14ac:dyDescent="0.3">
      <c r="U419" s="1"/>
    </row>
    <row r="420" spans="21:21" ht="20.100000000000001" customHeight="1" x14ac:dyDescent="0.3">
      <c r="U420" s="1"/>
    </row>
    <row r="421" spans="21:21" ht="20.100000000000001" customHeight="1" x14ac:dyDescent="0.3">
      <c r="U421" s="1"/>
    </row>
    <row r="422" spans="21:21" ht="20.100000000000001" customHeight="1" x14ac:dyDescent="0.3">
      <c r="U422" s="1"/>
    </row>
    <row r="423" spans="21:21" ht="20.100000000000001" customHeight="1" x14ac:dyDescent="0.3">
      <c r="U423" s="1"/>
    </row>
    <row r="424" spans="21:21" ht="20.100000000000001" customHeight="1" x14ac:dyDescent="0.3">
      <c r="U424" s="1"/>
    </row>
    <row r="425" spans="21:21" ht="20.100000000000001" customHeight="1" x14ac:dyDescent="0.3">
      <c r="U425" s="1"/>
    </row>
    <row r="426" spans="21:21" ht="20.100000000000001" customHeight="1" x14ac:dyDescent="0.3">
      <c r="U426" s="1"/>
    </row>
    <row r="427" spans="21:21" ht="20.100000000000001" customHeight="1" x14ac:dyDescent="0.3">
      <c r="U427" s="1"/>
    </row>
    <row r="428" spans="21:21" ht="20.100000000000001" customHeight="1" x14ac:dyDescent="0.3">
      <c r="U428" s="1"/>
    </row>
    <row r="429" spans="21:21" ht="20.100000000000001" customHeight="1" x14ac:dyDescent="0.3">
      <c r="U429" s="1"/>
    </row>
    <row r="430" spans="21:21" ht="20.100000000000001" customHeight="1" x14ac:dyDescent="0.3">
      <c r="U430" s="1"/>
    </row>
    <row r="431" spans="21:21" ht="20.100000000000001" customHeight="1" x14ac:dyDescent="0.3">
      <c r="U431" s="1"/>
    </row>
    <row r="432" spans="21:21" ht="20.100000000000001" customHeight="1" x14ac:dyDescent="0.3">
      <c r="U432" s="1"/>
    </row>
    <row r="433" spans="21:21" ht="20.100000000000001" customHeight="1" x14ac:dyDescent="0.3">
      <c r="U433" s="1"/>
    </row>
    <row r="434" spans="21:21" ht="20.100000000000001" customHeight="1" x14ac:dyDescent="0.3">
      <c r="U434" s="1"/>
    </row>
    <row r="435" spans="21:21" ht="20.100000000000001" customHeight="1" x14ac:dyDescent="0.3">
      <c r="U435" s="1"/>
    </row>
    <row r="436" spans="21:21" ht="20.100000000000001" customHeight="1" x14ac:dyDescent="0.3">
      <c r="U436" s="1"/>
    </row>
    <row r="437" spans="21:21" ht="20.100000000000001" customHeight="1" x14ac:dyDescent="0.3">
      <c r="U437" s="1"/>
    </row>
    <row r="438" spans="21:21" ht="20.100000000000001" customHeight="1" x14ac:dyDescent="0.3">
      <c r="U438" s="1"/>
    </row>
    <row r="439" spans="21:21" ht="20.100000000000001" customHeight="1" x14ac:dyDescent="0.3">
      <c r="U439" s="1"/>
    </row>
    <row r="440" spans="21:21" ht="20.100000000000001" customHeight="1" x14ac:dyDescent="0.3">
      <c r="U440" s="1"/>
    </row>
    <row r="441" spans="21:21" ht="20.100000000000001" customHeight="1" x14ac:dyDescent="0.3">
      <c r="U441" s="1"/>
    </row>
    <row r="442" spans="21:21" ht="20.100000000000001" customHeight="1" x14ac:dyDescent="0.3">
      <c r="U442" s="1"/>
    </row>
    <row r="443" spans="21:21" ht="20.100000000000001" customHeight="1" x14ac:dyDescent="0.3">
      <c r="U443" s="1"/>
    </row>
    <row r="444" spans="21:21" ht="20.100000000000001" customHeight="1" x14ac:dyDescent="0.3">
      <c r="U444" s="1"/>
    </row>
    <row r="445" spans="21:21" ht="20.100000000000001" customHeight="1" x14ac:dyDescent="0.3">
      <c r="U445" s="1"/>
    </row>
    <row r="446" spans="21:21" ht="20.100000000000001" customHeight="1" x14ac:dyDescent="0.3">
      <c r="U446" s="1"/>
    </row>
    <row r="447" spans="21:21" ht="20.100000000000001" customHeight="1" x14ac:dyDescent="0.3">
      <c r="U447" s="1"/>
    </row>
    <row r="448" spans="21:21" ht="20.100000000000001" customHeight="1" x14ac:dyDescent="0.3">
      <c r="U448" s="1"/>
    </row>
    <row r="449" spans="21:21" ht="20.100000000000001" customHeight="1" x14ac:dyDescent="0.3">
      <c r="U449" s="1"/>
    </row>
    <row r="450" spans="21:21" ht="20.100000000000001" customHeight="1" x14ac:dyDescent="0.3">
      <c r="U450" s="1"/>
    </row>
    <row r="451" spans="21:21" ht="20.100000000000001" customHeight="1" x14ac:dyDescent="0.3">
      <c r="U451" s="1"/>
    </row>
    <row r="452" spans="21:21" ht="20.100000000000001" customHeight="1" x14ac:dyDescent="0.3">
      <c r="U452" s="1"/>
    </row>
    <row r="453" spans="21:21" ht="20.100000000000001" customHeight="1" x14ac:dyDescent="0.3">
      <c r="U453" s="1"/>
    </row>
    <row r="454" spans="21:21" ht="20.100000000000001" customHeight="1" x14ac:dyDescent="0.3">
      <c r="U454" s="1"/>
    </row>
    <row r="455" spans="21:21" ht="20.100000000000001" customHeight="1" x14ac:dyDescent="0.3">
      <c r="U455" s="1"/>
    </row>
    <row r="456" spans="21:21" ht="20.100000000000001" customHeight="1" x14ac:dyDescent="0.3">
      <c r="U456" s="1"/>
    </row>
    <row r="457" spans="21:21" ht="20.100000000000001" customHeight="1" x14ac:dyDescent="0.3">
      <c r="U457" s="1"/>
    </row>
    <row r="458" spans="21:21" ht="20.100000000000001" customHeight="1" x14ac:dyDescent="0.3">
      <c r="U458" s="1"/>
    </row>
    <row r="459" spans="21:21" ht="20.100000000000001" customHeight="1" x14ac:dyDescent="0.3">
      <c r="U459" s="1"/>
    </row>
    <row r="460" spans="21:21" ht="20.100000000000001" customHeight="1" x14ac:dyDescent="0.3">
      <c r="U460" s="1"/>
    </row>
    <row r="461" spans="21:21" ht="20.100000000000001" customHeight="1" x14ac:dyDescent="0.3">
      <c r="U461" s="1"/>
    </row>
    <row r="462" spans="21:21" ht="20.100000000000001" customHeight="1" x14ac:dyDescent="0.3">
      <c r="U462" s="1"/>
    </row>
    <row r="463" spans="21:21" ht="20.100000000000001" customHeight="1" x14ac:dyDescent="0.3">
      <c r="U463" s="1"/>
    </row>
    <row r="464" spans="21:21" ht="20.100000000000001" customHeight="1" x14ac:dyDescent="0.3">
      <c r="U464" s="1"/>
    </row>
    <row r="465" spans="21:21" ht="20.100000000000001" customHeight="1" x14ac:dyDescent="0.3">
      <c r="U465" s="1"/>
    </row>
    <row r="466" spans="21:21" ht="20.100000000000001" customHeight="1" x14ac:dyDescent="0.3">
      <c r="U466" s="1"/>
    </row>
    <row r="467" spans="21:21" ht="20.100000000000001" customHeight="1" x14ac:dyDescent="0.3">
      <c r="U467" s="1"/>
    </row>
    <row r="468" spans="21:21" ht="20.100000000000001" customHeight="1" x14ac:dyDescent="0.3">
      <c r="U468" s="1"/>
    </row>
    <row r="469" spans="21:21" ht="20.100000000000001" customHeight="1" x14ac:dyDescent="0.3">
      <c r="U469" s="1"/>
    </row>
    <row r="470" spans="21:21" ht="20.100000000000001" customHeight="1" x14ac:dyDescent="0.3">
      <c r="U470" s="1"/>
    </row>
    <row r="471" spans="21:21" ht="20.100000000000001" customHeight="1" x14ac:dyDescent="0.3">
      <c r="U471" s="1"/>
    </row>
    <row r="472" spans="21:21" ht="20.100000000000001" customHeight="1" x14ac:dyDescent="0.3">
      <c r="U472" s="1"/>
    </row>
    <row r="473" spans="21:21" ht="20.100000000000001" customHeight="1" x14ac:dyDescent="0.3">
      <c r="U473" s="1"/>
    </row>
    <row r="474" spans="21:21" ht="20.100000000000001" customHeight="1" x14ac:dyDescent="0.3">
      <c r="U474" s="1"/>
    </row>
    <row r="475" spans="21:21" ht="20.100000000000001" customHeight="1" x14ac:dyDescent="0.3">
      <c r="U475" s="1"/>
    </row>
    <row r="476" spans="21:21" ht="20.100000000000001" customHeight="1" x14ac:dyDescent="0.3">
      <c r="U476" s="1"/>
    </row>
    <row r="477" spans="21:21" ht="20.100000000000001" customHeight="1" x14ac:dyDescent="0.3">
      <c r="U477" s="1"/>
    </row>
    <row r="478" spans="21:21" ht="20.100000000000001" customHeight="1" x14ac:dyDescent="0.3">
      <c r="U478" s="1"/>
    </row>
    <row r="479" spans="21:21" ht="20.100000000000001" customHeight="1" x14ac:dyDescent="0.3">
      <c r="U479" s="1"/>
    </row>
    <row r="480" spans="21:21" ht="20.100000000000001" customHeight="1" x14ac:dyDescent="0.3">
      <c r="U480" s="1"/>
    </row>
    <row r="481" spans="21:21" ht="20.100000000000001" customHeight="1" x14ac:dyDescent="0.3">
      <c r="U481" s="1"/>
    </row>
    <row r="482" spans="21:21" ht="20.100000000000001" customHeight="1" x14ac:dyDescent="0.3">
      <c r="U482" s="1"/>
    </row>
    <row r="483" spans="21:21" ht="20.100000000000001" customHeight="1" x14ac:dyDescent="0.3">
      <c r="U483" s="1"/>
    </row>
    <row r="484" spans="21:21" ht="20.100000000000001" customHeight="1" x14ac:dyDescent="0.3">
      <c r="U484" s="1"/>
    </row>
    <row r="485" spans="21:21" ht="20.100000000000001" customHeight="1" x14ac:dyDescent="0.3">
      <c r="U485" s="1"/>
    </row>
    <row r="486" spans="21:21" ht="20.100000000000001" customHeight="1" x14ac:dyDescent="0.3">
      <c r="U486" s="1"/>
    </row>
    <row r="487" spans="21:21" ht="20.100000000000001" customHeight="1" x14ac:dyDescent="0.3">
      <c r="U487" s="1"/>
    </row>
    <row r="488" spans="21:21" ht="20.100000000000001" customHeight="1" x14ac:dyDescent="0.3">
      <c r="U488" s="1"/>
    </row>
    <row r="489" spans="21:21" ht="20.100000000000001" customHeight="1" x14ac:dyDescent="0.3">
      <c r="U489" s="1"/>
    </row>
    <row r="490" spans="21:21" ht="20.100000000000001" customHeight="1" x14ac:dyDescent="0.3">
      <c r="U490" s="1"/>
    </row>
    <row r="491" spans="21:21" ht="20.100000000000001" customHeight="1" x14ac:dyDescent="0.3">
      <c r="U491" s="1"/>
    </row>
    <row r="492" spans="21:21" ht="20.100000000000001" customHeight="1" x14ac:dyDescent="0.3">
      <c r="U492" s="1"/>
    </row>
    <row r="493" spans="21:21" ht="20.100000000000001" customHeight="1" x14ac:dyDescent="0.3">
      <c r="U493" s="1"/>
    </row>
    <row r="494" spans="21:21" ht="20.100000000000001" customHeight="1" x14ac:dyDescent="0.3">
      <c r="U494" s="1"/>
    </row>
    <row r="495" spans="21:21" ht="20.100000000000001" customHeight="1" x14ac:dyDescent="0.3">
      <c r="U495" s="1"/>
    </row>
    <row r="496" spans="21:21" ht="20.100000000000001" customHeight="1" x14ac:dyDescent="0.3">
      <c r="U496" s="1"/>
    </row>
    <row r="497" spans="21:21" ht="20.100000000000001" customHeight="1" x14ac:dyDescent="0.3">
      <c r="U497" s="1"/>
    </row>
    <row r="498" spans="21:21" ht="20.100000000000001" customHeight="1" x14ac:dyDescent="0.3">
      <c r="U498" s="1"/>
    </row>
    <row r="499" spans="21:21" ht="20.100000000000001" customHeight="1" x14ac:dyDescent="0.3">
      <c r="U499" s="1"/>
    </row>
    <row r="500" spans="21:21" ht="20.100000000000001" customHeight="1" x14ac:dyDescent="0.3">
      <c r="U500" s="1"/>
    </row>
    <row r="501" spans="21:21" ht="20.100000000000001" customHeight="1" x14ac:dyDescent="0.3">
      <c r="U501" s="1"/>
    </row>
    <row r="502" spans="21:21" ht="20.100000000000001" customHeight="1" x14ac:dyDescent="0.3">
      <c r="U502" s="1"/>
    </row>
    <row r="503" spans="21:21" ht="20.100000000000001" customHeight="1" x14ac:dyDescent="0.3">
      <c r="U503" s="1"/>
    </row>
    <row r="504" spans="21:21" ht="20.100000000000001" customHeight="1" x14ac:dyDescent="0.3">
      <c r="U504" s="1"/>
    </row>
    <row r="505" spans="21:21" ht="20.100000000000001" customHeight="1" x14ac:dyDescent="0.3">
      <c r="U505" s="1"/>
    </row>
    <row r="506" spans="21:21" ht="20.100000000000001" customHeight="1" x14ac:dyDescent="0.3">
      <c r="U506" s="1"/>
    </row>
    <row r="507" spans="21:21" ht="20.100000000000001" customHeight="1" x14ac:dyDescent="0.3">
      <c r="U507" s="1"/>
    </row>
    <row r="508" spans="21:21" ht="20.100000000000001" customHeight="1" x14ac:dyDescent="0.3">
      <c r="U508" s="1"/>
    </row>
    <row r="509" spans="21:21" ht="20.100000000000001" customHeight="1" x14ac:dyDescent="0.3">
      <c r="U509" s="1"/>
    </row>
    <row r="510" spans="21:21" ht="20.100000000000001" customHeight="1" x14ac:dyDescent="0.3">
      <c r="U510" s="1"/>
    </row>
    <row r="511" spans="21:21" ht="20.100000000000001" customHeight="1" x14ac:dyDescent="0.3">
      <c r="U511" s="1"/>
    </row>
    <row r="512" spans="21:21" ht="20.100000000000001" customHeight="1" x14ac:dyDescent="0.3">
      <c r="U512" s="1"/>
    </row>
    <row r="513" spans="21:21" ht="20.100000000000001" customHeight="1" x14ac:dyDescent="0.3">
      <c r="U513" s="1"/>
    </row>
    <row r="514" spans="21:21" ht="20.100000000000001" customHeight="1" x14ac:dyDescent="0.3">
      <c r="U514" s="1"/>
    </row>
    <row r="515" spans="21:21" ht="20.100000000000001" customHeight="1" x14ac:dyDescent="0.3">
      <c r="U515" s="1"/>
    </row>
    <row r="516" spans="21:21" ht="20.100000000000001" customHeight="1" x14ac:dyDescent="0.3">
      <c r="U516" s="1"/>
    </row>
    <row r="517" spans="21:21" ht="20.100000000000001" customHeight="1" x14ac:dyDescent="0.3">
      <c r="U517" s="1"/>
    </row>
    <row r="518" spans="21:21" ht="20.100000000000001" customHeight="1" x14ac:dyDescent="0.3">
      <c r="U518" s="1"/>
    </row>
    <row r="519" spans="21:21" ht="20.100000000000001" customHeight="1" x14ac:dyDescent="0.3">
      <c r="U519" s="1"/>
    </row>
    <row r="520" spans="21:21" ht="20.100000000000001" customHeight="1" x14ac:dyDescent="0.3">
      <c r="U520" s="1"/>
    </row>
    <row r="521" spans="21:21" ht="20.100000000000001" customHeight="1" x14ac:dyDescent="0.3">
      <c r="U521" s="1"/>
    </row>
    <row r="522" spans="21:21" ht="20.100000000000001" customHeight="1" x14ac:dyDescent="0.3">
      <c r="U522" s="1"/>
    </row>
    <row r="523" spans="21:21" ht="20.100000000000001" customHeight="1" x14ac:dyDescent="0.3">
      <c r="U523" s="1"/>
    </row>
    <row r="524" spans="21:21" ht="20.100000000000001" customHeight="1" x14ac:dyDescent="0.3">
      <c r="U524" s="1"/>
    </row>
    <row r="525" spans="21:21" ht="20.100000000000001" customHeight="1" x14ac:dyDescent="0.3">
      <c r="U525" s="1"/>
    </row>
    <row r="526" spans="21:21" ht="20.100000000000001" customHeight="1" x14ac:dyDescent="0.3">
      <c r="U526" s="1"/>
    </row>
    <row r="527" spans="21:21" ht="20.100000000000001" customHeight="1" x14ac:dyDescent="0.3">
      <c r="U527" s="1"/>
    </row>
    <row r="528" spans="21:21" ht="20.100000000000001" customHeight="1" x14ac:dyDescent="0.3">
      <c r="U528" s="1"/>
    </row>
    <row r="529" spans="21:21" ht="20.100000000000001" customHeight="1" x14ac:dyDescent="0.3">
      <c r="U529" s="1"/>
    </row>
    <row r="530" spans="21:21" ht="20.100000000000001" customHeight="1" x14ac:dyDescent="0.3">
      <c r="U530" s="1"/>
    </row>
    <row r="531" spans="21:21" ht="20.100000000000001" customHeight="1" x14ac:dyDescent="0.3">
      <c r="U531" s="1"/>
    </row>
    <row r="532" spans="21:21" ht="20.100000000000001" customHeight="1" x14ac:dyDescent="0.3">
      <c r="U532" s="1"/>
    </row>
    <row r="533" spans="21:21" ht="20.100000000000001" customHeight="1" x14ac:dyDescent="0.3">
      <c r="U533" s="1"/>
    </row>
    <row r="534" spans="21:21" ht="20.100000000000001" customHeight="1" x14ac:dyDescent="0.3">
      <c r="U534" s="1"/>
    </row>
    <row r="535" spans="21:21" ht="20.100000000000001" customHeight="1" x14ac:dyDescent="0.3">
      <c r="U535" s="1"/>
    </row>
    <row r="536" spans="21:21" ht="20.100000000000001" customHeight="1" x14ac:dyDescent="0.3">
      <c r="U536" s="1"/>
    </row>
    <row r="537" spans="21:21" ht="20.100000000000001" customHeight="1" x14ac:dyDescent="0.3">
      <c r="U537" s="1"/>
    </row>
    <row r="538" spans="21:21" ht="20.100000000000001" customHeight="1" x14ac:dyDescent="0.3">
      <c r="U538" s="1"/>
    </row>
    <row r="539" spans="21:21" ht="20.100000000000001" customHeight="1" x14ac:dyDescent="0.3">
      <c r="U539" s="1"/>
    </row>
    <row r="540" spans="21:21" ht="20.100000000000001" customHeight="1" x14ac:dyDescent="0.3">
      <c r="U540" s="1"/>
    </row>
    <row r="541" spans="21:21" ht="20.100000000000001" customHeight="1" x14ac:dyDescent="0.3">
      <c r="U541" s="1"/>
    </row>
    <row r="542" spans="21:21" ht="20.100000000000001" customHeight="1" x14ac:dyDescent="0.3">
      <c r="U542" s="1"/>
    </row>
    <row r="543" spans="21:21" ht="20.100000000000001" customHeight="1" x14ac:dyDescent="0.3">
      <c r="U543" s="1"/>
    </row>
    <row r="544" spans="21:21" ht="20.100000000000001" customHeight="1" x14ac:dyDescent="0.3">
      <c r="U544" s="1"/>
    </row>
    <row r="545" spans="21:21" ht="20.100000000000001" customHeight="1" x14ac:dyDescent="0.3">
      <c r="U545" s="1"/>
    </row>
    <row r="546" spans="21:21" ht="20.100000000000001" customHeight="1" x14ac:dyDescent="0.3">
      <c r="U546" s="1"/>
    </row>
    <row r="547" spans="21:21" ht="20.100000000000001" customHeight="1" x14ac:dyDescent="0.3">
      <c r="U547" s="1"/>
    </row>
    <row r="548" spans="21:21" ht="20.100000000000001" customHeight="1" x14ac:dyDescent="0.3">
      <c r="U548" s="1"/>
    </row>
    <row r="549" spans="21:21" ht="20.100000000000001" customHeight="1" x14ac:dyDescent="0.3">
      <c r="U549" s="1"/>
    </row>
    <row r="550" spans="21:21" ht="20.100000000000001" customHeight="1" x14ac:dyDescent="0.3">
      <c r="U550" s="1"/>
    </row>
    <row r="551" spans="21:21" ht="20.100000000000001" customHeight="1" x14ac:dyDescent="0.3">
      <c r="U551" s="1"/>
    </row>
    <row r="552" spans="21:21" ht="20.100000000000001" customHeight="1" x14ac:dyDescent="0.3">
      <c r="U552" s="1"/>
    </row>
    <row r="553" spans="21:21" ht="20.100000000000001" customHeight="1" x14ac:dyDescent="0.3">
      <c r="U553" s="1"/>
    </row>
    <row r="554" spans="21:21" ht="20.100000000000001" customHeight="1" x14ac:dyDescent="0.3">
      <c r="U554" s="1"/>
    </row>
    <row r="555" spans="21:21" ht="20.100000000000001" customHeight="1" x14ac:dyDescent="0.3">
      <c r="U555" s="1"/>
    </row>
    <row r="556" spans="21:21" ht="20.100000000000001" customHeight="1" x14ac:dyDescent="0.3">
      <c r="U556" s="1"/>
    </row>
    <row r="557" spans="21:21" ht="20.100000000000001" customHeight="1" x14ac:dyDescent="0.3">
      <c r="U557" s="1"/>
    </row>
    <row r="558" spans="21:21" ht="20.100000000000001" customHeight="1" x14ac:dyDescent="0.3">
      <c r="U558" s="1"/>
    </row>
    <row r="559" spans="21:21" ht="20.100000000000001" customHeight="1" x14ac:dyDescent="0.3">
      <c r="U559" s="1"/>
    </row>
    <row r="560" spans="21:21" ht="20.100000000000001" customHeight="1" x14ac:dyDescent="0.3">
      <c r="U560" s="1"/>
    </row>
    <row r="561" spans="21:21" ht="20.100000000000001" customHeight="1" x14ac:dyDescent="0.3">
      <c r="U561" s="1"/>
    </row>
    <row r="562" spans="21:21" ht="20.100000000000001" customHeight="1" x14ac:dyDescent="0.3">
      <c r="U562" s="1"/>
    </row>
    <row r="563" spans="21:21" ht="20.100000000000001" customHeight="1" x14ac:dyDescent="0.3">
      <c r="U563" s="1"/>
    </row>
    <row r="564" spans="21:21" ht="20.100000000000001" customHeight="1" x14ac:dyDescent="0.3">
      <c r="U564" s="1"/>
    </row>
    <row r="565" spans="21:21" ht="20.100000000000001" customHeight="1" x14ac:dyDescent="0.3">
      <c r="U565" s="1"/>
    </row>
    <row r="566" spans="21:21" ht="20.100000000000001" customHeight="1" x14ac:dyDescent="0.3">
      <c r="U566" s="1"/>
    </row>
    <row r="567" spans="21:21" ht="20.100000000000001" customHeight="1" x14ac:dyDescent="0.3">
      <c r="U567" s="1"/>
    </row>
    <row r="568" spans="21:21" ht="20.100000000000001" customHeight="1" x14ac:dyDescent="0.3">
      <c r="U568" s="1"/>
    </row>
    <row r="569" spans="21:21" ht="20.100000000000001" customHeight="1" x14ac:dyDescent="0.3">
      <c r="U569" s="1"/>
    </row>
    <row r="570" spans="21:21" ht="20.100000000000001" customHeight="1" x14ac:dyDescent="0.3">
      <c r="U570" s="1"/>
    </row>
    <row r="571" spans="21:21" ht="20.100000000000001" customHeight="1" x14ac:dyDescent="0.3">
      <c r="U571" s="1"/>
    </row>
    <row r="572" spans="21:21" ht="20.100000000000001" customHeight="1" x14ac:dyDescent="0.3">
      <c r="U572" s="1"/>
    </row>
    <row r="573" spans="21:21" ht="20.100000000000001" customHeight="1" x14ac:dyDescent="0.3">
      <c r="U573" s="1"/>
    </row>
    <row r="574" spans="21:21" ht="20.100000000000001" customHeight="1" x14ac:dyDescent="0.3">
      <c r="U574" s="1"/>
    </row>
    <row r="575" spans="21:21" ht="20.100000000000001" customHeight="1" x14ac:dyDescent="0.3">
      <c r="U575" s="1"/>
    </row>
    <row r="576" spans="21:21" ht="20.100000000000001" customHeight="1" x14ac:dyDescent="0.3">
      <c r="U576" s="1"/>
    </row>
    <row r="577" spans="21:21" ht="20.100000000000001" customHeight="1" x14ac:dyDescent="0.3">
      <c r="U577" s="1"/>
    </row>
    <row r="578" spans="21:21" ht="20.100000000000001" customHeight="1" x14ac:dyDescent="0.3">
      <c r="U578" s="1"/>
    </row>
    <row r="579" spans="21:21" ht="20.100000000000001" customHeight="1" x14ac:dyDescent="0.3">
      <c r="U579" s="1"/>
    </row>
    <row r="580" spans="21:21" ht="20.100000000000001" customHeight="1" x14ac:dyDescent="0.3">
      <c r="U580" s="1"/>
    </row>
    <row r="581" spans="21:21" ht="20.100000000000001" customHeight="1" x14ac:dyDescent="0.3">
      <c r="U581" s="1"/>
    </row>
    <row r="582" spans="21:21" ht="20.100000000000001" customHeight="1" x14ac:dyDescent="0.3">
      <c r="U582" s="1"/>
    </row>
    <row r="583" spans="21:21" ht="20.100000000000001" customHeight="1" x14ac:dyDescent="0.3">
      <c r="U583" s="1"/>
    </row>
    <row r="584" spans="21:21" ht="20.100000000000001" customHeight="1" x14ac:dyDescent="0.3">
      <c r="U584" s="1"/>
    </row>
    <row r="585" spans="21:21" ht="20.100000000000001" customHeight="1" x14ac:dyDescent="0.3">
      <c r="U585" s="1"/>
    </row>
    <row r="586" spans="21:21" ht="20.100000000000001" customHeight="1" x14ac:dyDescent="0.3">
      <c r="U586" s="1"/>
    </row>
    <row r="587" spans="21:21" ht="20.100000000000001" customHeight="1" x14ac:dyDescent="0.3">
      <c r="U587" s="1"/>
    </row>
    <row r="588" spans="21:21" ht="20.100000000000001" customHeight="1" x14ac:dyDescent="0.3">
      <c r="U588" s="1"/>
    </row>
    <row r="589" spans="21:21" ht="20.100000000000001" customHeight="1" x14ac:dyDescent="0.3">
      <c r="U589" s="1"/>
    </row>
    <row r="590" spans="21:21" ht="20.100000000000001" customHeight="1" x14ac:dyDescent="0.3">
      <c r="U590" s="1"/>
    </row>
    <row r="591" spans="21:21" ht="20.100000000000001" customHeight="1" x14ac:dyDescent="0.3">
      <c r="U591" s="1"/>
    </row>
    <row r="592" spans="21:21" ht="20.100000000000001" customHeight="1" x14ac:dyDescent="0.3">
      <c r="U592" s="1"/>
    </row>
    <row r="593" spans="21:21" ht="20.100000000000001" customHeight="1" x14ac:dyDescent="0.3">
      <c r="U593" s="1"/>
    </row>
    <row r="594" spans="21:21" ht="20.100000000000001" customHeight="1" x14ac:dyDescent="0.3">
      <c r="U594" s="1"/>
    </row>
    <row r="595" spans="21:21" ht="20.100000000000001" customHeight="1" x14ac:dyDescent="0.3">
      <c r="U595" s="1"/>
    </row>
    <row r="596" spans="21:21" ht="20.100000000000001" customHeight="1" x14ac:dyDescent="0.3">
      <c r="U596" s="1"/>
    </row>
    <row r="597" spans="21:21" ht="20.100000000000001" customHeight="1" x14ac:dyDescent="0.3">
      <c r="U597" s="1"/>
    </row>
    <row r="598" spans="21:21" ht="20.100000000000001" customHeight="1" x14ac:dyDescent="0.3">
      <c r="U598" s="1"/>
    </row>
    <row r="599" spans="21:21" ht="20.100000000000001" customHeight="1" x14ac:dyDescent="0.3">
      <c r="U599" s="1"/>
    </row>
    <row r="600" spans="21:21" ht="20.100000000000001" customHeight="1" x14ac:dyDescent="0.3">
      <c r="U600" s="1"/>
    </row>
    <row r="601" spans="21:21" ht="20.100000000000001" customHeight="1" x14ac:dyDescent="0.3">
      <c r="U601" s="1"/>
    </row>
    <row r="602" spans="21:21" ht="20.100000000000001" customHeight="1" x14ac:dyDescent="0.3">
      <c r="U602" s="1"/>
    </row>
    <row r="603" spans="21:21" ht="20.100000000000001" customHeight="1" x14ac:dyDescent="0.3">
      <c r="U603" s="1"/>
    </row>
    <row r="604" spans="21:21" ht="20.100000000000001" customHeight="1" x14ac:dyDescent="0.3">
      <c r="U604" s="1"/>
    </row>
    <row r="605" spans="21:21" ht="20.100000000000001" customHeight="1" x14ac:dyDescent="0.3">
      <c r="U605" s="1"/>
    </row>
    <row r="606" spans="21:21" ht="20.100000000000001" customHeight="1" x14ac:dyDescent="0.3">
      <c r="U606" s="1"/>
    </row>
    <row r="607" spans="21:21" ht="20.100000000000001" customHeight="1" x14ac:dyDescent="0.3">
      <c r="U607" s="1"/>
    </row>
    <row r="608" spans="21:21" ht="20.100000000000001" customHeight="1" x14ac:dyDescent="0.3">
      <c r="U608" s="1"/>
    </row>
    <row r="609" spans="21:21" ht="20.100000000000001" customHeight="1" x14ac:dyDescent="0.3">
      <c r="U609" s="1"/>
    </row>
    <row r="610" spans="21:21" ht="20.100000000000001" customHeight="1" x14ac:dyDescent="0.3">
      <c r="U610" s="1"/>
    </row>
    <row r="611" spans="21:21" ht="20.100000000000001" customHeight="1" x14ac:dyDescent="0.3">
      <c r="U611" s="1"/>
    </row>
    <row r="612" spans="21:21" ht="20.100000000000001" customHeight="1" x14ac:dyDescent="0.3">
      <c r="U612" s="1"/>
    </row>
    <row r="613" spans="21:21" ht="20.100000000000001" customHeight="1" x14ac:dyDescent="0.3">
      <c r="U613" s="1"/>
    </row>
    <row r="614" spans="21:21" ht="20.100000000000001" customHeight="1" x14ac:dyDescent="0.3">
      <c r="U614" s="1"/>
    </row>
    <row r="615" spans="21:21" ht="20.100000000000001" customHeight="1" x14ac:dyDescent="0.3">
      <c r="U615" s="1"/>
    </row>
    <row r="616" spans="21:21" ht="20.100000000000001" customHeight="1" x14ac:dyDescent="0.3">
      <c r="U616" s="1"/>
    </row>
    <row r="617" spans="21:21" ht="20.100000000000001" customHeight="1" x14ac:dyDescent="0.3">
      <c r="U617" s="1"/>
    </row>
    <row r="618" spans="21:21" ht="20.100000000000001" customHeight="1" x14ac:dyDescent="0.3">
      <c r="U618" s="1"/>
    </row>
    <row r="619" spans="21:21" ht="20.100000000000001" customHeight="1" x14ac:dyDescent="0.3">
      <c r="U619" s="1"/>
    </row>
    <row r="620" spans="21:21" ht="20.100000000000001" customHeight="1" x14ac:dyDescent="0.3">
      <c r="U620" s="1"/>
    </row>
    <row r="621" spans="21:21" ht="20.100000000000001" customHeight="1" x14ac:dyDescent="0.3">
      <c r="U621" s="1"/>
    </row>
    <row r="622" spans="21:21" ht="20.100000000000001" customHeight="1" x14ac:dyDescent="0.3">
      <c r="U622" s="1"/>
    </row>
    <row r="623" spans="21:21" ht="20.100000000000001" customHeight="1" x14ac:dyDescent="0.3">
      <c r="U623" s="1"/>
    </row>
    <row r="624" spans="21:21" ht="20.100000000000001" customHeight="1" x14ac:dyDescent="0.3">
      <c r="U624" s="1"/>
    </row>
    <row r="625" spans="21:21" ht="20.100000000000001" customHeight="1" x14ac:dyDescent="0.3">
      <c r="U625" s="1"/>
    </row>
    <row r="626" spans="21:21" ht="20.100000000000001" customHeight="1" x14ac:dyDescent="0.3">
      <c r="U626" s="1"/>
    </row>
    <row r="627" spans="21:21" ht="20.100000000000001" customHeight="1" x14ac:dyDescent="0.3">
      <c r="U627" s="1"/>
    </row>
    <row r="628" spans="21:21" ht="20.100000000000001" customHeight="1" x14ac:dyDescent="0.3">
      <c r="U628" s="1"/>
    </row>
    <row r="629" spans="21:21" ht="20.100000000000001" customHeight="1" x14ac:dyDescent="0.3">
      <c r="U629" s="1"/>
    </row>
    <row r="630" spans="21:21" ht="20.100000000000001" customHeight="1" x14ac:dyDescent="0.3">
      <c r="U630" s="1"/>
    </row>
    <row r="631" spans="21:21" ht="20.100000000000001" customHeight="1" x14ac:dyDescent="0.3">
      <c r="U631" s="1"/>
    </row>
    <row r="632" spans="21:21" ht="20.100000000000001" customHeight="1" x14ac:dyDescent="0.3">
      <c r="U632" s="1"/>
    </row>
    <row r="633" spans="21:21" ht="20.100000000000001" customHeight="1" x14ac:dyDescent="0.3">
      <c r="U633" s="1"/>
    </row>
    <row r="634" spans="21:21" ht="20.100000000000001" customHeight="1" x14ac:dyDescent="0.3">
      <c r="U634" s="1"/>
    </row>
    <row r="635" spans="21:21" ht="20.100000000000001" customHeight="1" x14ac:dyDescent="0.3">
      <c r="U635" s="1"/>
    </row>
    <row r="636" spans="21:21" ht="20.100000000000001" customHeight="1" x14ac:dyDescent="0.3">
      <c r="U636" s="1"/>
    </row>
    <row r="637" spans="21:21" ht="20.100000000000001" customHeight="1" x14ac:dyDescent="0.3">
      <c r="U637" s="1"/>
    </row>
    <row r="638" spans="21:21" ht="20.100000000000001" customHeight="1" x14ac:dyDescent="0.3">
      <c r="U638" s="1"/>
    </row>
    <row r="639" spans="21:21" ht="20.100000000000001" customHeight="1" x14ac:dyDescent="0.3">
      <c r="U639" s="1"/>
    </row>
    <row r="640" spans="21:21" ht="20.100000000000001" customHeight="1" x14ac:dyDescent="0.3">
      <c r="U640" s="1"/>
    </row>
    <row r="641" spans="21:21" ht="20.100000000000001" customHeight="1" x14ac:dyDescent="0.3">
      <c r="U641" s="1"/>
    </row>
    <row r="642" spans="21:21" ht="20.100000000000001" customHeight="1" x14ac:dyDescent="0.3">
      <c r="U642" s="1"/>
    </row>
    <row r="643" spans="21:21" ht="20.100000000000001" customHeight="1" x14ac:dyDescent="0.3">
      <c r="U643" s="1"/>
    </row>
    <row r="644" spans="21:21" ht="20.100000000000001" customHeight="1" x14ac:dyDescent="0.3">
      <c r="U644" s="1"/>
    </row>
    <row r="645" spans="21:21" ht="20.100000000000001" customHeight="1" x14ac:dyDescent="0.3">
      <c r="U645" s="1"/>
    </row>
    <row r="646" spans="21:21" ht="20.100000000000001" customHeight="1" x14ac:dyDescent="0.3">
      <c r="U646" s="1"/>
    </row>
    <row r="647" spans="21:21" ht="20.100000000000001" customHeight="1" x14ac:dyDescent="0.3">
      <c r="U647" s="1"/>
    </row>
    <row r="648" spans="21:21" ht="20.100000000000001" customHeight="1" x14ac:dyDescent="0.3">
      <c r="U648" s="1"/>
    </row>
    <row r="649" spans="21:21" ht="20.100000000000001" customHeight="1" x14ac:dyDescent="0.3">
      <c r="U649" s="1"/>
    </row>
    <row r="650" spans="21:21" ht="20.100000000000001" customHeight="1" x14ac:dyDescent="0.3">
      <c r="U650" s="1"/>
    </row>
    <row r="651" spans="21:21" ht="20.100000000000001" customHeight="1" x14ac:dyDescent="0.3">
      <c r="U651" s="1"/>
    </row>
    <row r="652" spans="21:21" ht="20.100000000000001" customHeight="1" x14ac:dyDescent="0.3">
      <c r="U652" s="1"/>
    </row>
    <row r="653" spans="21:21" ht="20.100000000000001" customHeight="1" x14ac:dyDescent="0.3">
      <c r="U653" s="1"/>
    </row>
    <row r="654" spans="21:21" ht="20.100000000000001" customHeight="1" x14ac:dyDescent="0.3">
      <c r="U654" s="1"/>
    </row>
    <row r="655" spans="21:21" ht="20.100000000000001" customHeight="1" x14ac:dyDescent="0.3">
      <c r="U655" s="1"/>
    </row>
    <row r="656" spans="21:21" ht="20.100000000000001" customHeight="1" x14ac:dyDescent="0.3">
      <c r="U656" s="1"/>
    </row>
    <row r="657" spans="21:21" ht="20.100000000000001" customHeight="1" x14ac:dyDescent="0.3">
      <c r="U657" s="1"/>
    </row>
    <row r="658" spans="21:21" ht="20.100000000000001" customHeight="1" x14ac:dyDescent="0.3">
      <c r="U658" s="1"/>
    </row>
    <row r="659" spans="21:21" ht="20.100000000000001" customHeight="1" x14ac:dyDescent="0.3">
      <c r="U659" s="1"/>
    </row>
    <row r="660" spans="21:21" ht="20.100000000000001" customHeight="1" x14ac:dyDescent="0.3">
      <c r="U660" s="1"/>
    </row>
    <row r="661" spans="21:21" ht="20.100000000000001" customHeight="1" x14ac:dyDescent="0.3">
      <c r="U661" s="1"/>
    </row>
    <row r="662" spans="21:21" ht="20.100000000000001" customHeight="1" x14ac:dyDescent="0.3">
      <c r="U662" s="1"/>
    </row>
    <row r="663" spans="21:21" ht="20.100000000000001" customHeight="1" x14ac:dyDescent="0.3">
      <c r="U663" s="1"/>
    </row>
    <row r="664" spans="21:21" ht="20.100000000000001" customHeight="1" x14ac:dyDescent="0.3">
      <c r="U664" s="1"/>
    </row>
    <row r="665" spans="21:21" ht="20.100000000000001" customHeight="1" x14ac:dyDescent="0.3">
      <c r="U665" s="1"/>
    </row>
    <row r="666" spans="21:21" ht="20.100000000000001" customHeight="1" x14ac:dyDescent="0.3">
      <c r="U666" s="1"/>
    </row>
    <row r="667" spans="21:21" ht="20.100000000000001" customHeight="1" x14ac:dyDescent="0.3">
      <c r="U667" s="1"/>
    </row>
    <row r="668" spans="21:21" ht="20.100000000000001" customHeight="1" x14ac:dyDescent="0.3">
      <c r="U668" s="1"/>
    </row>
    <row r="669" spans="21:21" ht="20.100000000000001" customHeight="1" x14ac:dyDescent="0.3">
      <c r="U669" s="1"/>
    </row>
    <row r="670" spans="21:21" ht="20.100000000000001" customHeight="1" x14ac:dyDescent="0.3">
      <c r="U670" s="1"/>
    </row>
    <row r="671" spans="21:21" ht="20.100000000000001" customHeight="1" x14ac:dyDescent="0.3">
      <c r="U671" s="1"/>
    </row>
    <row r="672" spans="21:21" ht="20.100000000000001" customHeight="1" x14ac:dyDescent="0.3">
      <c r="U672" s="1"/>
    </row>
    <row r="673" spans="21:21" ht="20.100000000000001" customHeight="1" x14ac:dyDescent="0.3">
      <c r="U673" s="1"/>
    </row>
    <row r="674" spans="21:21" ht="20.100000000000001" customHeight="1" x14ac:dyDescent="0.3">
      <c r="U674" s="1"/>
    </row>
    <row r="675" spans="21:21" ht="20.100000000000001" customHeight="1" x14ac:dyDescent="0.3">
      <c r="U675" s="1"/>
    </row>
    <row r="676" spans="21:21" ht="20.100000000000001" customHeight="1" x14ac:dyDescent="0.3">
      <c r="U676" s="1"/>
    </row>
    <row r="677" spans="21:21" ht="20.100000000000001" customHeight="1" x14ac:dyDescent="0.3">
      <c r="U677" s="1"/>
    </row>
    <row r="678" spans="21:21" ht="20.100000000000001" customHeight="1" x14ac:dyDescent="0.3">
      <c r="U678" s="1"/>
    </row>
    <row r="679" spans="21:21" ht="20.100000000000001" customHeight="1" x14ac:dyDescent="0.3">
      <c r="U679" s="1"/>
    </row>
    <row r="680" spans="21:21" ht="20.100000000000001" customHeight="1" x14ac:dyDescent="0.3">
      <c r="U680" s="1"/>
    </row>
    <row r="681" spans="21:21" ht="20.100000000000001" customHeight="1" x14ac:dyDescent="0.3">
      <c r="U681" s="1"/>
    </row>
    <row r="682" spans="21:21" ht="20.100000000000001" customHeight="1" x14ac:dyDescent="0.3">
      <c r="U682" s="1"/>
    </row>
    <row r="683" spans="21:21" ht="20.100000000000001" customHeight="1" x14ac:dyDescent="0.3">
      <c r="U683" s="1"/>
    </row>
    <row r="684" spans="21:21" ht="20.100000000000001" customHeight="1" x14ac:dyDescent="0.3">
      <c r="U684" s="1"/>
    </row>
    <row r="685" spans="21:21" ht="20.100000000000001" customHeight="1" x14ac:dyDescent="0.3">
      <c r="U685" s="1"/>
    </row>
    <row r="686" spans="21:21" ht="20.100000000000001" customHeight="1" x14ac:dyDescent="0.3">
      <c r="U686" s="1"/>
    </row>
    <row r="687" spans="21:21" ht="20.100000000000001" customHeight="1" x14ac:dyDescent="0.3">
      <c r="U687" s="1"/>
    </row>
    <row r="688" spans="21:21" ht="20.100000000000001" customHeight="1" x14ac:dyDescent="0.3">
      <c r="U688" s="1"/>
    </row>
    <row r="689" spans="21:21" ht="20.100000000000001" customHeight="1" x14ac:dyDescent="0.3">
      <c r="U689" s="1"/>
    </row>
    <row r="690" spans="21:21" ht="20.100000000000001" customHeight="1" x14ac:dyDescent="0.3">
      <c r="U690" s="1"/>
    </row>
    <row r="691" spans="21:21" ht="20.100000000000001" customHeight="1" x14ac:dyDescent="0.3">
      <c r="U691" s="1"/>
    </row>
    <row r="692" spans="21:21" ht="20.100000000000001" customHeight="1" x14ac:dyDescent="0.3">
      <c r="U692" s="1"/>
    </row>
    <row r="693" spans="21:21" ht="20.100000000000001" customHeight="1" x14ac:dyDescent="0.3">
      <c r="U693" s="1"/>
    </row>
    <row r="694" spans="21:21" ht="20.100000000000001" customHeight="1" x14ac:dyDescent="0.3">
      <c r="U694" s="1"/>
    </row>
    <row r="695" spans="21:21" ht="20.100000000000001" customHeight="1" x14ac:dyDescent="0.3">
      <c r="U695" s="1"/>
    </row>
    <row r="696" spans="21:21" ht="20.100000000000001" customHeight="1" x14ac:dyDescent="0.3">
      <c r="U696" s="1"/>
    </row>
    <row r="697" spans="21:21" ht="20.100000000000001" customHeight="1" x14ac:dyDescent="0.3">
      <c r="U697" s="1"/>
    </row>
    <row r="698" spans="21:21" ht="20.100000000000001" customHeight="1" x14ac:dyDescent="0.3">
      <c r="U698" s="1"/>
    </row>
    <row r="699" spans="21:21" ht="20.100000000000001" customHeight="1" x14ac:dyDescent="0.3">
      <c r="U699" s="1"/>
    </row>
    <row r="700" spans="21:21" ht="20.100000000000001" customHeight="1" x14ac:dyDescent="0.3">
      <c r="U700" s="1"/>
    </row>
    <row r="701" spans="21:21" ht="20.100000000000001" customHeight="1" x14ac:dyDescent="0.3">
      <c r="U701" s="1"/>
    </row>
    <row r="702" spans="21:21" ht="20.100000000000001" customHeight="1" x14ac:dyDescent="0.3">
      <c r="U702" s="1"/>
    </row>
    <row r="703" spans="21:21" ht="20.100000000000001" customHeight="1" x14ac:dyDescent="0.3">
      <c r="U703" s="1"/>
    </row>
    <row r="704" spans="21:21" ht="20.100000000000001" customHeight="1" x14ac:dyDescent="0.3">
      <c r="U704" s="1"/>
    </row>
    <row r="705" spans="21:21" ht="20.100000000000001" customHeight="1" x14ac:dyDescent="0.3">
      <c r="U705" s="1"/>
    </row>
    <row r="706" spans="21:21" ht="20.100000000000001" customHeight="1" x14ac:dyDescent="0.3">
      <c r="U706" s="1"/>
    </row>
    <row r="707" spans="21:21" ht="20.100000000000001" customHeight="1" x14ac:dyDescent="0.3">
      <c r="U707" s="1"/>
    </row>
    <row r="708" spans="21:21" ht="20.100000000000001" customHeight="1" x14ac:dyDescent="0.3">
      <c r="U708" s="1"/>
    </row>
    <row r="709" spans="21:21" ht="20.100000000000001" customHeight="1" x14ac:dyDescent="0.3">
      <c r="U709" s="1"/>
    </row>
    <row r="710" spans="21:21" ht="20.100000000000001" customHeight="1" x14ac:dyDescent="0.3">
      <c r="U710" s="1"/>
    </row>
    <row r="711" spans="21:21" ht="20.100000000000001" customHeight="1" x14ac:dyDescent="0.3">
      <c r="U711" s="1"/>
    </row>
    <row r="712" spans="21:21" ht="20.100000000000001" customHeight="1" x14ac:dyDescent="0.3">
      <c r="U712" s="1"/>
    </row>
    <row r="713" spans="21:21" ht="20.100000000000001" customHeight="1" x14ac:dyDescent="0.3">
      <c r="U713" s="1"/>
    </row>
    <row r="714" spans="21:21" ht="20.100000000000001" customHeight="1" x14ac:dyDescent="0.3">
      <c r="U714" s="1"/>
    </row>
    <row r="715" spans="21:21" ht="20.100000000000001" customHeight="1" x14ac:dyDescent="0.3">
      <c r="U715" s="1"/>
    </row>
    <row r="716" spans="21:21" ht="20.100000000000001" customHeight="1" x14ac:dyDescent="0.3">
      <c r="U716" s="1"/>
    </row>
    <row r="717" spans="21:21" ht="20.100000000000001" customHeight="1" x14ac:dyDescent="0.3">
      <c r="U717" s="1"/>
    </row>
    <row r="718" spans="21:21" ht="20.100000000000001" customHeight="1" x14ac:dyDescent="0.3">
      <c r="U718" s="1"/>
    </row>
    <row r="719" spans="21:21" ht="20.100000000000001" customHeight="1" x14ac:dyDescent="0.3">
      <c r="U719" s="1"/>
    </row>
    <row r="720" spans="21:21" ht="20.100000000000001" customHeight="1" x14ac:dyDescent="0.3">
      <c r="U720" s="1"/>
    </row>
    <row r="721" spans="21:21" ht="20.100000000000001" customHeight="1" x14ac:dyDescent="0.3">
      <c r="U721" s="1"/>
    </row>
    <row r="722" spans="21:21" ht="20.100000000000001" customHeight="1" x14ac:dyDescent="0.3">
      <c r="U722" s="1"/>
    </row>
    <row r="723" spans="21:21" ht="20.100000000000001" customHeight="1" x14ac:dyDescent="0.3">
      <c r="U723" s="1"/>
    </row>
    <row r="724" spans="21:21" ht="20.100000000000001" customHeight="1" x14ac:dyDescent="0.3">
      <c r="U724" s="1"/>
    </row>
    <row r="725" spans="21:21" ht="20.100000000000001" customHeight="1" x14ac:dyDescent="0.3">
      <c r="U725" s="1"/>
    </row>
    <row r="726" spans="21:21" ht="20.100000000000001" customHeight="1" x14ac:dyDescent="0.3">
      <c r="U726" s="1"/>
    </row>
    <row r="727" spans="21:21" ht="20.100000000000001" customHeight="1" x14ac:dyDescent="0.3">
      <c r="U727" s="1"/>
    </row>
    <row r="728" spans="21:21" ht="20.100000000000001" customHeight="1" x14ac:dyDescent="0.3">
      <c r="U728" s="1"/>
    </row>
    <row r="729" spans="21:21" ht="20.100000000000001" customHeight="1" x14ac:dyDescent="0.3">
      <c r="U729" s="1"/>
    </row>
    <row r="730" spans="21:21" ht="20.100000000000001" customHeight="1" x14ac:dyDescent="0.3">
      <c r="U730" s="1"/>
    </row>
    <row r="731" spans="21:21" ht="20.100000000000001" customHeight="1" x14ac:dyDescent="0.3">
      <c r="U731" s="1"/>
    </row>
    <row r="732" spans="21:21" ht="20.100000000000001" customHeight="1" x14ac:dyDescent="0.3">
      <c r="U732" s="1"/>
    </row>
    <row r="733" spans="21:21" ht="20.100000000000001" customHeight="1" x14ac:dyDescent="0.3">
      <c r="U733" s="1"/>
    </row>
    <row r="734" spans="21:21" ht="20.100000000000001" customHeight="1" x14ac:dyDescent="0.3">
      <c r="U734" s="1"/>
    </row>
    <row r="735" spans="21:21" ht="20.100000000000001" customHeight="1" x14ac:dyDescent="0.3">
      <c r="U735" s="1"/>
    </row>
    <row r="736" spans="21:21" ht="20.100000000000001" customHeight="1" x14ac:dyDescent="0.3">
      <c r="U736" s="1"/>
    </row>
    <row r="737" spans="21:21" ht="20.100000000000001" customHeight="1" x14ac:dyDescent="0.3">
      <c r="U737" s="1"/>
    </row>
    <row r="738" spans="21:21" ht="20.100000000000001" customHeight="1" x14ac:dyDescent="0.3">
      <c r="U738" s="1"/>
    </row>
    <row r="739" spans="21:21" ht="20.100000000000001" customHeight="1" x14ac:dyDescent="0.3">
      <c r="U739" s="1"/>
    </row>
    <row r="740" spans="21:21" ht="20.100000000000001" customHeight="1" x14ac:dyDescent="0.3">
      <c r="U740" s="1"/>
    </row>
    <row r="741" spans="21:21" ht="20.100000000000001" customHeight="1" x14ac:dyDescent="0.3">
      <c r="U741" s="1"/>
    </row>
    <row r="742" spans="21:21" ht="20.100000000000001" customHeight="1" x14ac:dyDescent="0.3">
      <c r="U742" s="1"/>
    </row>
    <row r="743" spans="21:21" ht="20.100000000000001" customHeight="1" x14ac:dyDescent="0.3">
      <c r="U743" s="1"/>
    </row>
    <row r="744" spans="21:21" ht="20.100000000000001" customHeight="1" x14ac:dyDescent="0.3">
      <c r="U744" s="1"/>
    </row>
    <row r="745" spans="21:21" ht="20.100000000000001" customHeight="1" x14ac:dyDescent="0.3">
      <c r="U745" s="1"/>
    </row>
    <row r="746" spans="21:21" ht="20.100000000000001" customHeight="1" x14ac:dyDescent="0.3">
      <c r="U746" s="1"/>
    </row>
    <row r="747" spans="21:21" ht="20.100000000000001" customHeight="1" x14ac:dyDescent="0.3">
      <c r="U747" s="1"/>
    </row>
    <row r="748" spans="21:21" ht="20.100000000000001" customHeight="1" x14ac:dyDescent="0.3">
      <c r="U748" s="1"/>
    </row>
    <row r="749" spans="21:21" ht="20.100000000000001" customHeight="1" x14ac:dyDescent="0.3">
      <c r="U749" s="1"/>
    </row>
    <row r="750" spans="21:21" ht="20.100000000000001" customHeight="1" x14ac:dyDescent="0.3">
      <c r="U750" s="1"/>
    </row>
    <row r="751" spans="21:21" ht="20.100000000000001" customHeight="1" x14ac:dyDescent="0.3">
      <c r="U751" s="1"/>
    </row>
    <row r="752" spans="21:21" ht="20.100000000000001" customHeight="1" x14ac:dyDescent="0.3">
      <c r="U752" s="1"/>
    </row>
    <row r="753" spans="21:21" ht="20.100000000000001" customHeight="1" x14ac:dyDescent="0.3">
      <c r="U753" s="1"/>
    </row>
    <row r="754" spans="21:21" ht="20.100000000000001" customHeight="1" x14ac:dyDescent="0.3">
      <c r="U754" s="1"/>
    </row>
    <row r="755" spans="21:21" ht="20.100000000000001" customHeight="1" x14ac:dyDescent="0.3">
      <c r="U755" s="1"/>
    </row>
    <row r="756" spans="21:21" ht="20.100000000000001" customHeight="1" x14ac:dyDescent="0.3">
      <c r="U756" s="1"/>
    </row>
    <row r="757" spans="21:21" ht="20.100000000000001" customHeight="1" x14ac:dyDescent="0.3">
      <c r="U757" s="1"/>
    </row>
    <row r="758" spans="21:21" ht="20.100000000000001" customHeight="1" x14ac:dyDescent="0.3">
      <c r="U758" s="1"/>
    </row>
    <row r="759" spans="21:21" ht="20.100000000000001" customHeight="1" x14ac:dyDescent="0.3">
      <c r="U759" s="1"/>
    </row>
    <row r="760" spans="21:21" ht="20.100000000000001" customHeight="1" x14ac:dyDescent="0.3">
      <c r="U760" s="1"/>
    </row>
    <row r="761" spans="21:21" ht="20.100000000000001" customHeight="1" x14ac:dyDescent="0.3">
      <c r="U761" s="1"/>
    </row>
    <row r="762" spans="21:21" ht="20.100000000000001" customHeight="1" x14ac:dyDescent="0.3">
      <c r="U762" s="1"/>
    </row>
    <row r="763" spans="21:21" ht="20.100000000000001" customHeight="1" x14ac:dyDescent="0.3">
      <c r="U763" s="1"/>
    </row>
    <row r="764" spans="21:21" ht="20.100000000000001" customHeight="1" x14ac:dyDescent="0.3">
      <c r="U764" s="1"/>
    </row>
    <row r="765" spans="21:21" ht="20.100000000000001" customHeight="1" x14ac:dyDescent="0.3">
      <c r="U765" s="1"/>
    </row>
    <row r="766" spans="21:21" ht="20.100000000000001" customHeight="1" x14ac:dyDescent="0.3">
      <c r="U766" s="1"/>
    </row>
    <row r="767" spans="21:21" ht="20.100000000000001" customHeight="1" x14ac:dyDescent="0.3">
      <c r="U767" s="1"/>
    </row>
    <row r="768" spans="21:21" ht="20.100000000000001" customHeight="1" x14ac:dyDescent="0.3">
      <c r="U768" s="1"/>
    </row>
    <row r="769" spans="21:21" ht="20.100000000000001" customHeight="1" x14ac:dyDescent="0.3">
      <c r="U769" s="1"/>
    </row>
    <row r="770" spans="21:21" ht="20.100000000000001" customHeight="1" x14ac:dyDescent="0.3">
      <c r="U770" s="1"/>
    </row>
    <row r="771" spans="21:21" ht="20.100000000000001" customHeight="1" x14ac:dyDescent="0.3">
      <c r="U771" s="1"/>
    </row>
    <row r="772" spans="21:21" ht="20.100000000000001" customHeight="1" x14ac:dyDescent="0.3">
      <c r="U772" s="1"/>
    </row>
    <row r="773" spans="21:21" ht="20.100000000000001" customHeight="1" x14ac:dyDescent="0.3">
      <c r="U773" s="1"/>
    </row>
    <row r="774" spans="21:21" ht="20.100000000000001" customHeight="1" x14ac:dyDescent="0.3">
      <c r="U774" s="1"/>
    </row>
    <row r="775" spans="21:21" ht="20.100000000000001" customHeight="1" x14ac:dyDescent="0.3">
      <c r="U775" s="1"/>
    </row>
    <row r="776" spans="21:21" ht="20.100000000000001" customHeight="1" x14ac:dyDescent="0.3">
      <c r="U776" s="1"/>
    </row>
    <row r="777" spans="21:21" ht="20.100000000000001" customHeight="1" x14ac:dyDescent="0.3">
      <c r="U777" s="1"/>
    </row>
    <row r="778" spans="21:21" ht="20.100000000000001" customHeight="1" x14ac:dyDescent="0.3">
      <c r="U778" s="1"/>
    </row>
    <row r="779" spans="21:21" ht="20.100000000000001" customHeight="1" x14ac:dyDescent="0.3">
      <c r="U779" s="1"/>
    </row>
    <row r="780" spans="21:21" ht="20.100000000000001" customHeight="1" x14ac:dyDescent="0.3">
      <c r="U780" s="1"/>
    </row>
    <row r="781" spans="21:21" ht="20.100000000000001" customHeight="1" x14ac:dyDescent="0.3">
      <c r="U781" s="1"/>
    </row>
    <row r="782" spans="21:21" ht="20.100000000000001" customHeight="1" x14ac:dyDescent="0.3">
      <c r="U782" s="1"/>
    </row>
    <row r="783" spans="21:21" ht="20.100000000000001" customHeight="1" x14ac:dyDescent="0.3">
      <c r="U783" s="1"/>
    </row>
    <row r="784" spans="21:21" ht="20.100000000000001" customHeight="1" x14ac:dyDescent="0.3">
      <c r="U784" s="1"/>
    </row>
    <row r="785" spans="21:21" ht="20.100000000000001" customHeight="1" x14ac:dyDescent="0.3">
      <c r="U785" s="1"/>
    </row>
    <row r="786" spans="21:21" ht="20.100000000000001" customHeight="1" x14ac:dyDescent="0.3">
      <c r="U786" s="1"/>
    </row>
    <row r="787" spans="21:21" ht="20.100000000000001" customHeight="1" x14ac:dyDescent="0.3">
      <c r="U787" s="1"/>
    </row>
    <row r="788" spans="21:21" ht="20.100000000000001" customHeight="1" x14ac:dyDescent="0.3">
      <c r="U788" s="1"/>
    </row>
    <row r="789" spans="21:21" ht="20.100000000000001" customHeight="1" x14ac:dyDescent="0.3">
      <c r="U789" s="1"/>
    </row>
    <row r="790" spans="21:21" ht="20.100000000000001" customHeight="1" x14ac:dyDescent="0.3">
      <c r="U790" s="1"/>
    </row>
    <row r="791" spans="21:21" ht="20.100000000000001" customHeight="1" x14ac:dyDescent="0.3">
      <c r="U791" s="1"/>
    </row>
    <row r="792" spans="21:21" ht="20.100000000000001" customHeight="1" x14ac:dyDescent="0.3">
      <c r="U792" s="1"/>
    </row>
    <row r="793" spans="21:21" ht="20.100000000000001" customHeight="1" x14ac:dyDescent="0.3">
      <c r="U793" s="1"/>
    </row>
    <row r="794" spans="21:21" ht="20.100000000000001" customHeight="1" x14ac:dyDescent="0.3">
      <c r="U794" s="1"/>
    </row>
    <row r="795" spans="21:21" ht="20.100000000000001" customHeight="1" x14ac:dyDescent="0.3">
      <c r="U795" s="1"/>
    </row>
    <row r="796" spans="21:21" ht="20.100000000000001" customHeight="1" x14ac:dyDescent="0.3">
      <c r="U796" s="1"/>
    </row>
    <row r="797" spans="21:21" ht="20.100000000000001" customHeight="1" x14ac:dyDescent="0.3">
      <c r="U797" s="1"/>
    </row>
    <row r="798" spans="21:21" ht="20.100000000000001" customHeight="1" x14ac:dyDescent="0.3">
      <c r="U798" s="1"/>
    </row>
    <row r="799" spans="21:21" ht="20.100000000000001" customHeight="1" x14ac:dyDescent="0.3">
      <c r="U799" s="1"/>
    </row>
    <row r="800" spans="21:21" ht="20.100000000000001" customHeight="1" x14ac:dyDescent="0.3">
      <c r="U800" s="1"/>
    </row>
    <row r="801" spans="21:21" ht="20.100000000000001" customHeight="1" x14ac:dyDescent="0.3">
      <c r="U801" s="1"/>
    </row>
    <row r="802" spans="21:21" ht="20.100000000000001" customHeight="1" x14ac:dyDescent="0.3">
      <c r="U802" s="1"/>
    </row>
    <row r="803" spans="21:21" ht="20.100000000000001" customHeight="1" x14ac:dyDescent="0.3">
      <c r="U803" s="1"/>
    </row>
    <row r="804" spans="21:21" ht="20.100000000000001" customHeight="1" x14ac:dyDescent="0.3">
      <c r="U804" s="1"/>
    </row>
    <row r="805" spans="21:21" ht="20.100000000000001" customHeight="1" x14ac:dyDescent="0.3">
      <c r="U805" s="1"/>
    </row>
    <row r="806" spans="21:21" ht="20.100000000000001" customHeight="1" x14ac:dyDescent="0.3">
      <c r="U806" s="1"/>
    </row>
    <row r="807" spans="21:21" ht="20.100000000000001" customHeight="1" x14ac:dyDescent="0.3">
      <c r="U807" s="1"/>
    </row>
    <row r="808" spans="21:21" ht="20.100000000000001" customHeight="1" x14ac:dyDescent="0.3">
      <c r="U808" s="1"/>
    </row>
    <row r="809" spans="21:21" ht="20.100000000000001" customHeight="1" x14ac:dyDescent="0.3">
      <c r="U809" s="1"/>
    </row>
    <row r="810" spans="21:21" ht="20.100000000000001" customHeight="1" x14ac:dyDescent="0.3">
      <c r="U810" s="1"/>
    </row>
    <row r="811" spans="21:21" ht="20.100000000000001" customHeight="1" x14ac:dyDescent="0.3">
      <c r="U811" s="1"/>
    </row>
    <row r="812" spans="21:21" ht="20.100000000000001" customHeight="1" x14ac:dyDescent="0.3">
      <c r="U812" s="1"/>
    </row>
    <row r="813" spans="21:21" ht="20.100000000000001" customHeight="1" x14ac:dyDescent="0.3">
      <c r="U813" s="1"/>
    </row>
    <row r="814" spans="21:21" ht="20.100000000000001" customHeight="1" x14ac:dyDescent="0.3">
      <c r="U814" s="1"/>
    </row>
    <row r="815" spans="21:21" ht="20.100000000000001" customHeight="1" x14ac:dyDescent="0.3">
      <c r="U815" s="1"/>
    </row>
    <row r="816" spans="21:21" ht="20.100000000000001" customHeight="1" x14ac:dyDescent="0.3">
      <c r="U816" s="1"/>
    </row>
    <row r="817" spans="21:21" ht="20.100000000000001" customHeight="1" x14ac:dyDescent="0.3">
      <c r="U817" s="1"/>
    </row>
    <row r="818" spans="21:21" ht="20.100000000000001" customHeight="1" x14ac:dyDescent="0.3">
      <c r="U818" s="1"/>
    </row>
    <row r="819" spans="21:21" ht="20.100000000000001" customHeight="1" x14ac:dyDescent="0.3">
      <c r="U819" s="1"/>
    </row>
    <row r="820" spans="21:21" ht="20.100000000000001" customHeight="1" x14ac:dyDescent="0.3">
      <c r="U820" s="1"/>
    </row>
    <row r="821" spans="21:21" ht="20.100000000000001" customHeight="1" x14ac:dyDescent="0.3">
      <c r="U821" s="1"/>
    </row>
    <row r="822" spans="21:21" ht="20.100000000000001" customHeight="1" x14ac:dyDescent="0.3">
      <c r="U822" s="1"/>
    </row>
    <row r="823" spans="21:21" ht="20.100000000000001" customHeight="1" x14ac:dyDescent="0.3">
      <c r="U823" s="1"/>
    </row>
    <row r="824" spans="21:21" ht="20.100000000000001" customHeight="1" x14ac:dyDescent="0.3">
      <c r="U824" s="1"/>
    </row>
    <row r="825" spans="21:21" ht="20.100000000000001" customHeight="1" x14ac:dyDescent="0.3">
      <c r="U825" s="1"/>
    </row>
    <row r="826" spans="21:21" ht="20.100000000000001" customHeight="1" x14ac:dyDescent="0.3">
      <c r="U826" s="1"/>
    </row>
    <row r="827" spans="21:21" ht="20.100000000000001" customHeight="1" x14ac:dyDescent="0.3">
      <c r="U827" s="1"/>
    </row>
    <row r="828" spans="21:21" ht="20.100000000000001" customHeight="1" x14ac:dyDescent="0.3">
      <c r="U828" s="1"/>
    </row>
    <row r="829" spans="21:21" ht="20.100000000000001" customHeight="1" x14ac:dyDescent="0.3">
      <c r="U829" s="1"/>
    </row>
    <row r="830" spans="21:21" ht="20.100000000000001" customHeight="1" x14ac:dyDescent="0.3">
      <c r="U830" s="1"/>
    </row>
    <row r="831" spans="21:21" ht="20.100000000000001" customHeight="1" x14ac:dyDescent="0.3">
      <c r="U831" s="1"/>
    </row>
    <row r="832" spans="21:21" ht="20.100000000000001" customHeight="1" x14ac:dyDescent="0.3">
      <c r="U832" s="1"/>
    </row>
    <row r="833" spans="21:21" ht="20.100000000000001" customHeight="1" x14ac:dyDescent="0.3">
      <c r="U833" s="1"/>
    </row>
    <row r="834" spans="21:21" ht="20.100000000000001" customHeight="1" x14ac:dyDescent="0.3">
      <c r="U834" s="1"/>
    </row>
    <row r="835" spans="21:21" ht="20.100000000000001" customHeight="1" x14ac:dyDescent="0.3">
      <c r="U835" s="1"/>
    </row>
    <row r="836" spans="21:21" ht="20.100000000000001" customHeight="1" x14ac:dyDescent="0.3">
      <c r="U836" s="1"/>
    </row>
    <row r="837" spans="21:21" ht="20.100000000000001" customHeight="1" x14ac:dyDescent="0.3">
      <c r="U837" s="1"/>
    </row>
    <row r="838" spans="21:21" ht="20.100000000000001" customHeight="1" x14ac:dyDescent="0.3">
      <c r="U838" s="1"/>
    </row>
    <row r="839" spans="21:21" ht="20.100000000000001" customHeight="1" x14ac:dyDescent="0.3">
      <c r="U839" s="1"/>
    </row>
    <row r="840" spans="21:21" ht="20.100000000000001" customHeight="1" x14ac:dyDescent="0.3">
      <c r="U840" s="1"/>
    </row>
    <row r="841" spans="21:21" ht="20.100000000000001" customHeight="1" x14ac:dyDescent="0.3">
      <c r="U841" s="1"/>
    </row>
    <row r="842" spans="21:21" ht="20.100000000000001" customHeight="1" x14ac:dyDescent="0.3">
      <c r="U842" s="1"/>
    </row>
    <row r="843" spans="21:21" ht="20.100000000000001" customHeight="1" x14ac:dyDescent="0.3">
      <c r="U843" s="1"/>
    </row>
    <row r="844" spans="21:21" ht="20.100000000000001" customHeight="1" x14ac:dyDescent="0.3">
      <c r="U844" s="1"/>
    </row>
    <row r="845" spans="21:21" ht="20.100000000000001" customHeight="1" x14ac:dyDescent="0.3">
      <c r="U845" s="1"/>
    </row>
    <row r="846" spans="21:21" ht="20.100000000000001" customHeight="1" x14ac:dyDescent="0.3">
      <c r="U846" s="1"/>
    </row>
    <row r="847" spans="21:21" ht="20.100000000000001" customHeight="1" x14ac:dyDescent="0.3">
      <c r="U847" s="1"/>
    </row>
    <row r="848" spans="21:21" ht="20.100000000000001" customHeight="1" x14ac:dyDescent="0.3">
      <c r="U848" s="1"/>
    </row>
    <row r="849" spans="21:21" ht="20.100000000000001" customHeight="1" x14ac:dyDescent="0.3">
      <c r="U849" s="1"/>
    </row>
    <row r="850" spans="21:21" ht="20.100000000000001" customHeight="1" x14ac:dyDescent="0.3">
      <c r="U850" s="1"/>
    </row>
    <row r="851" spans="21:21" ht="20.100000000000001" customHeight="1" x14ac:dyDescent="0.3">
      <c r="U851" s="1"/>
    </row>
    <row r="852" spans="21:21" ht="20.100000000000001" customHeight="1" x14ac:dyDescent="0.3">
      <c r="U852" s="1"/>
    </row>
    <row r="853" spans="21:21" ht="20.100000000000001" customHeight="1" x14ac:dyDescent="0.3">
      <c r="U853" s="1"/>
    </row>
    <row r="854" spans="21:21" ht="20.100000000000001" customHeight="1" x14ac:dyDescent="0.3">
      <c r="U854" s="1"/>
    </row>
    <row r="855" spans="21:21" ht="20.100000000000001" customHeight="1" x14ac:dyDescent="0.3">
      <c r="U855" s="1"/>
    </row>
    <row r="856" spans="21:21" ht="20.100000000000001" customHeight="1" x14ac:dyDescent="0.3">
      <c r="U856" s="1"/>
    </row>
    <row r="857" spans="21:21" ht="20.100000000000001" customHeight="1" x14ac:dyDescent="0.3">
      <c r="U857" s="1"/>
    </row>
    <row r="858" spans="21:21" ht="20.100000000000001" customHeight="1" x14ac:dyDescent="0.3">
      <c r="U858" s="1"/>
    </row>
    <row r="859" spans="21:21" ht="20.100000000000001" customHeight="1" x14ac:dyDescent="0.3">
      <c r="U859" s="1"/>
    </row>
    <row r="860" spans="21:21" ht="20.100000000000001" customHeight="1" x14ac:dyDescent="0.3">
      <c r="U860" s="1"/>
    </row>
    <row r="861" spans="21:21" ht="20.100000000000001" customHeight="1" x14ac:dyDescent="0.3">
      <c r="U861" s="1"/>
    </row>
    <row r="862" spans="21:21" ht="20.100000000000001" customHeight="1" x14ac:dyDescent="0.3">
      <c r="U862" s="1"/>
    </row>
    <row r="863" spans="21:21" ht="20.100000000000001" customHeight="1" x14ac:dyDescent="0.3">
      <c r="U863" s="1"/>
    </row>
    <row r="864" spans="21:21" ht="20.100000000000001" customHeight="1" x14ac:dyDescent="0.3">
      <c r="U864" s="1"/>
    </row>
    <row r="865" spans="21:21" ht="20.100000000000001" customHeight="1" x14ac:dyDescent="0.3">
      <c r="U865" s="1"/>
    </row>
    <row r="866" spans="21:21" ht="20.100000000000001" customHeight="1" x14ac:dyDescent="0.3">
      <c r="U866" s="1"/>
    </row>
    <row r="867" spans="21:21" ht="20.100000000000001" customHeight="1" x14ac:dyDescent="0.3">
      <c r="U867" s="1"/>
    </row>
    <row r="868" spans="21:21" ht="20.100000000000001" customHeight="1" x14ac:dyDescent="0.3">
      <c r="U868" s="1"/>
    </row>
    <row r="869" spans="21:21" ht="20.100000000000001" customHeight="1" x14ac:dyDescent="0.3">
      <c r="U869" s="1"/>
    </row>
    <row r="870" spans="21:21" ht="20.100000000000001" customHeight="1" x14ac:dyDescent="0.3">
      <c r="U870" s="1"/>
    </row>
    <row r="871" spans="21:21" ht="20.100000000000001" customHeight="1" x14ac:dyDescent="0.3">
      <c r="U871" s="1"/>
    </row>
    <row r="872" spans="21:21" ht="20.100000000000001" customHeight="1" x14ac:dyDescent="0.3">
      <c r="U872" s="1"/>
    </row>
    <row r="873" spans="21:21" ht="20.100000000000001" customHeight="1" x14ac:dyDescent="0.3">
      <c r="U873" s="1"/>
    </row>
    <row r="874" spans="21:21" ht="20.100000000000001" customHeight="1" x14ac:dyDescent="0.3">
      <c r="U874" s="1"/>
    </row>
    <row r="875" spans="21:21" ht="20.100000000000001" customHeight="1" x14ac:dyDescent="0.3">
      <c r="U875" s="1"/>
    </row>
    <row r="876" spans="21:21" ht="20.100000000000001" customHeight="1" x14ac:dyDescent="0.3">
      <c r="U876" s="1"/>
    </row>
    <row r="877" spans="21:21" ht="20.100000000000001" customHeight="1" x14ac:dyDescent="0.3">
      <c r="U877" s="1"/>
    </row>
    <row r="878" spans="21:21" ht="20.100000000000001" customHeight="1" x14ac:dyDescent="0.3">
      <c r="U878" s="1"/>
    </row>
    <row r="879" spans="21:21" ht="20.100000000000001" customHeight="1" x14ac:dyDescent="0.3">
      <c r="U879" s="1"/>
    </row>
    <row r="880" spans="21:21" ht="20.100000000000001" customHeight="1" x14ac:dyDescent="0.3">
      <c r="U880" s="1"/>
    </row>
    <row r="881" spans="21:21" ht="20.100000000000001" customHeight="1" x14ac:dyDescent="0.3">
      <c r="U881" s="1"/>
    </row>
    <row r="882" spans="21:21" ht="20.100000000000001" customHeight="1" x14ac:dyDescent="0.3">
      <c r="U882" s="1"/>
    </row>
    <row r="883" spans="21:21" ht="20.100000000000001" customHeight="1" x14ac:dyDescent="0.3">
      <c r="U883" s="1"/>
    </row>
    <row r="884" spans="21:21" ht="20.100000000000001" customHeight="1" x14ac:dyDescent="0.3">
      <c r="U884" s="1"/>
    </row>
    <row r="885" spans="21:21" ht="20.100000000000001" customHeight="1" x14ac:dyDescent="0.3">
      <c r="U885" s="1"/>
    </row>
    <row r="886" spans="21:21" ht="20.100000000000001" customHeight="1" x14ac:dyDescent="0.3">
      <c r="U886" s="1"/>
    </row>
    <row r="887" spans="21:21" ht="20.100000000000001" customHeight="1" x14ac:dyDescent="0.3">
      <c r="U887" s="1"/>
    </row>
    <row r="888" spans="21:21" ht="20.100000000000001" customHeight="1" x14ac:dyDescent="0.3">
      <c r="U888" s="1"/>
    </row>
    <row r="889" spans="21:21" ht="20.100000000000001" customHeight="1" x14ac:dyDescent="0.3">
      <c r="U889" s="1"/>
    </row>
    <row r="890" spans="21:21" ht="20.100000000000001" customHeight="1" x14ac:dyDescent="0.3">
      <c r="U890" s="1"/>
    </row>
    <row r="891" spans="21:21" ht="20.100000000000001" customHeight="1" x14ac:dyDescent="0.3">
      <c r="U891" s="1"/>
    </row>
    <row r="892" spans="21:21" ht="20.100000000000001" customHeight="1" x14ac:dyDescent="0.3">
      <c r="U892" s="1"/>
    </row>
    <row r="893" spans="21:21" ht="20.100000000000001" customHeight="1" x14ac:dyDescent="0.3">
      <c r="U893" s="1"/>
    </row>
    <row r="894" spans="21:21" ht="20.100000000000001" customHeight="1" x14ac:dyDescent="0.3">
      <c r="U894" s="1"/>
    </row>
    <row r="895" spans="21:21" ht="20.100000000000001" customHeight="1" x14ac:dyDescent="0.3">
      <c r="U895" s="1"/>
    </row>
    <row r="896" spans="21:21" ht="20.100000000000001" customHeight="1" x14ac:dyDescent="0.3">
      <c r="U896" s="1"/>
    </row>
    <row r="897" spans="21:21" ht="20.100000000000001" customHeight="1" x14ac:dyDescent="0.3">
      <c r="U897" s="1"/>
    </row>
    <row r="898" spans="21:21" ht="20.100000000000001" customHeight="1" x14ac:dyDescent="0.3">
      <c r="U898" s="1"/>
    </row>
    <row r="899" spans="21:21" ht="20.100000000000001" customHeight="1" x14ac:dyDescent="0.3">
      <c r="U899" s="1"/>
    </row>
    <row r="900" spans="21:21" ht="20.100000000000001" customHeight="1" x14ac:dyDescent="0.3">
      <c r="U900" s="1"/>
    </row>
    <row r="901" spans="21:21" ht="20.100000000000001" customHeight="1" x14ac:dyDescent="0.3">
      <c r="U901" s="1"/>
    </row>
    <row r="902" spans="21:21" ht="20.100000000000001" customHeight="1" x14ac:dyDescent="0.3">
      <c r="U902" s="1"/>
    </row>
    <row r="903" spans="21:21" ht="20.100000000000001" customHeight="1" x14ac:dyDescent="0.3">
      <c r="U903" s="1"/>
    </row>
    <row r="904" spans="21:21" ht="20.100000000000001" customHeight="1" x14ac:dyDescent="0.3">
      <c r="U904" s="1"/>
    </row>
    <row r="905" spans="21:21" ht="20.100000000000001" customHeight="1" x14ac:dyDescent="0.3">
      <c r="U905" s="1"/>
    </row>
    <row r="906" spans="21:21" ht="20.100000000000001" customHeight="1" x14ac:dyDescent="0.3">
      <c r="U906" s="1"/>
    </row>
    <row r="907" spans="21:21" ht="20.100000000000001" customHeight="1" x14ac:dyDescent="0.3">
      <c r="U907" s="1"/>
    </row>
    <row r="908" spans="21:21" ht="20.100000000000001" customHeight="1" x14ac:dyDescent="0.3">
      <c r="U908" s="1"/>
    </row>
    <row r="909" spans="21:21" ht="20.100000000000001" customHeight="1" x14ac:dyDescent="0.3">
      <c r="U909" s="1"/>
    </row>
    <row r="910" spans="21:21" ht="20.100000000000001" customHeight="1" x14ac:dyDescent="0.3">
      <c r="U910" s="1"/>
    </row>
    <row r="911" spans="21:21" ht="20.100000000000001" customHeight="1" x14ac:dyDescent="0.3">
      <c r="U911" s="1"/>
    </row>
    <row r="912" spans="21:21" ht="20.100000000000001" customHeight="1" x14ac:dyDescent="0.3">
      <c r="U912" s="1"/>
    </row>
    <row r="913" spans="21:21" ht="20.100000000000001" customHeight="1" x14ac:dyDescent="0.3">
      <c r="U913" s="1"/>
    </row>
    <row r="914" spans="21:21" ht="20.100000000000001" customHeight="1" x14ac:dyDescent="0.3">
      <c r="U914" s="1"/>
    </row>
    <row r="915" spans="21:21" ht="20.100000000000001" customHeight="1" x14ac:dyDescent="0.3">
      <c r="U915" s="1"/>
    </row>
    <row r="916" spans="21:21" ht="20.100000000000001" customHeight="1" x14ac:dyDescent="0.3">
      <c r="U916" s="1"/>
    </row>
    <row r="917" spans="21:21" ht="20.100000000000001" customHeight="1" x14ac:dyDescent="0.3">
      <c r="U917" s="1"/>
    </row>
    <row r="918" spans="21:21" ht="20.100000000000001" customHeight="1" x14ac:dyDescent="0.3">
      <c r="U918" s="1"/>
    </row>
    <row r="919" spans="21:21" ht="20.100000000000001" customHeight="1" x14ac:dyDescent="0.3">
      <c r="U919" s="1"/>
    </row>
    <row r="920" spans="21:21" ht="20.100000000000001" customHeight="1" x14ac:dyDescent="0.3">
      <c r="U920" s="1"/>
    </row>
    <row r="921" spans="21:21" ht="20.100000000000001" customHeight="1" x14ac:dyDescent="0.3">
      <c r="U921" s="1"/>
    </row>
    <row r="922" spans="21:21" ht="20.100000000000001" customHeight="1" x14ac:dyDescent="0.3">
      <c r="U922" s="1"/>
    </row>
    <row r="923" spans="21:21" ht="20.100000000000001" customHeight="1" x14ac:dyDescent="0.3">
      <c r="U923" s="1"/>
    </row>
    <row r="924" spans="21:21" ht="20.100000000000001" customHeight="1" x14ac:dyDescent="0.3">
      <c r="U924" s="1"/>
    </row>
    <row r="925" spans="21:21" ht="20.100000000000001" customHeight="1" x14ac:dyDescent="0.3">
      <c r="U925" s="1"/>
    </row>
    <row r="926" spans="21:21" ht="20.100000000000001" customHeight="1" x14ac:dyDescent="0.3">
      <c r="U926" s="1"/>
    </row>
    <row r="927" spans="21:21" ht="20.100000000000001" customHeight="1" x14ac:dyDescent="0.3">
      <c r="U927" s="1"/>
    </row>
    <row r="928" spans="21:21" ht="20.100000000000001" customHeight="1" x14ac:dyDescent="0.3">
      <c r="U928" s="1"/>
    </row>
    <row r="929" spans="21:21" ht="20.100000000000001" customHeight="1" x14ac:dyDescent="0.3">
      <c r="U929" s="1"/>
    </row>
    <row r="930" spans="21:21" ht="20.100000000000001" customHeight="1" x14ac:dyDescent="0.3">
      <c r="U930" s="1"/>
    </row>
    <row r="931" spans="21:21" ht="20.100000000000001" customHeight="1" x14ac:dyDescent="0.3">
      <c r="U931" s="1"/>
    </row>
    <row r="932" spans="21:21" ht="20.100000000000001" customHeight="1" x14ac:dyDescent="0.3">
      <c r="U932" s="1"/>
    </row>
    <row r="933" spans="21:21" ht="20.100000000000001" customHeight="1" x14ac:dyDescent="0.3">
      <c r="U933" s="1"/>
    </row>
    <row r="934" spans="21:21" ht="20.100000000000001" customHeight="1" x14ac:dyDescent="0.3">
      <c r="U934" s="1"/>
    </row>
    <row r="935" spans="21:21" ht="20.100000000000001" customHeight="1" x14ac:dyDescent="0.3">
      <c r="U935" s="1"/>
    </row>
    <row r="936" spans="21:21" ht="20.100000000000001" customHeight="1" x14ac:dyDescent="0.3">
      <c r="U936" s="1"/>
    </row>
    <row r="937" spans="21:21" ht="20.100000000000001" customHeight="1" x14ac:dyDescent="0.3">
      <c r="U937" s="1"/>
    </row>
    <row r="938" spans="21:21" ht="20.100000000000001" customHeight="1" x14ac:dyDescent="0.3">
      <c r="U938" s="1"/>
    </row>
    <row r="939" spans="21:21" ht="20.100000000000001" customHeight="1" x14ac:dyDescent="0.3">
      <c r="U939" s="1"/>
    </row>
    <row r="940" spans="21:21" ht="20.100000000000001" customHeight="1" x14ac:dyDescent="0.3">
      <c r="U940" s="1"/>
    </row>
    <row r="941" spans="21:21" ht="20.100000000000001" customHeight="1" x14ac:dyDescent="0.3">
      <c r="U941" s="1"/>
    </row>
    <row r="942" spans="21:21" ht="20.100000000000001" customHeight="1" x14ac:dyDescent="0.3">
      <c r="U942" s="1"/>
    </row>
    <row r="943" spans="21:21" ht="20.100000000000001" customHeight="1" x14ac:dyDescent="0.3">
      <c r="U943" s="1"/>
    </row>
    <row r="944" spans="21:21" ht="20.100000000000001" customHeight="1" x14ac:dyDescent="0.3">
      <c r="U944" s="1"/>
    </row>
    <row r="945" spans="21:21" ht="20.100000000000001" customHeight="1" x14ac:dyDescent="0.3">
      <c r="U945" s="1"/>
    </row>
    <row r="946" spans="21:21" ht="20.100000000000001" customHeight="1" x14ac:dyDescent="0.3">
      <c r="U946" s="1"/>
    </row>
    <row r="947" spans="21:21" ht="20.100000000000001" customHeight="1" x14ac:dyDescent="0.3">
      <c r="U947" s="1"/>
    </row>
    <row r="948" spans="21:21" ht="20.100000000000001" customHeight="1" x14ac:dyDescent="0.3">
      <c r="U948" s="1"/>
    </row>
    <row r="949" spans="21:21" ht="20.100000000000001" customHeight="1" x14ac:dyDescent="0.3">
      <c r="U949" s="1"/>
    </row>
    <row r="950" spans="21:21" ht="20.100000000000001" customHeight="1" x14ac:dyDescent="0.3">
      <c r="U950" s="1"/>
    </row>
    <row r="951" spans="21:21" ht="20.100000000000001" customHeight="1" x14ac:dyDescent="0.3">
      <c r="U951" s="1"/>
    </row>
    <row r="952" spans="21:21" ht="20.100000000000001" customHeight="1" x14ac:dyDescent="0.3">
      <c r="U952" s="1"/>
    </row>
    <row r="953" spans="21:21" ht="20.100000000000001" customHeight="1" x14ac:dyDescent="0.3">
      <c r="U953" s="1"/>
    </row>
    <row r="954" spans="21:21" ht="20.100000000000001" customHeight="1" x14ac:dyDescent="0.3">
      <c r="U954" s="1"/>
    </row>
    <row r="955" spans="21:21" ht="20.100000000000001" customHeight="1" x14ac:dyDescent="0.3">
      <c r="U955" s="1"/>
    </row>
    <row r="956" spans="21:21" ht="20.100000000000001" customHeight="1" x14ac:dyDescent="0.3">
      <c r="U956" s="1"/>
    </row>
    <row r="957" spans="21:21" ht="20.100000000000001" customHeight="1" x14ac:dyDescent="0.3">
      <c r="U957" s="1"/>
    </row>
    <row r="958" spans="21:21" ht="20.100000000000001" customHeight="1" x14ac:dyDescent="0.3">
      <c r="U958" s="1"/>
    </row>
    <row r="959" spans="21:21" ht="20.100000000000001" customHeight="1" x14ac:dyDescent="0.3">
      <c r="U959" s="1"/>
    </row>
    <row r="960" spans="21:21" ht="20.100000000000001" customHeight="1" x14ac:dyDescent="0.3">
      <c r="U960" s="1"/>
    </row>
    <row r="961" spans="21:21" ht="20.100000000000001" customHeight="1" x14ac:dyDescent="0.3">
      <c r="U961" s="1"/>
    </row>
    <row r="962" spans="21:21" ht="20.100000000000001" customHeight="1" x14ac:dyDescent="0.3">
      <c r="U962" s="1"/>
    </row>
    <row r="963" spans="21:21" ht="20.100000000000001" customHeight="1" x14ac:dyDescent="0.3">
      <c r="U963" s="1"/>
    </row>
    <row r="964" spans="21:21" ht="20.100000000000001" customHeight="1" x14ac:dyDescent="0.3">
      <c r="U964" s="1"/>
    </row>
    <row r="965" spans="21:21" ht="20.100000000000001" customHeight="1" x14ac:dyDescent="0.3">
      <c r="U965" s="1"/>
    </row>
    <row r="966" spans="21:21" ht="20.100000000000001" customHeight="1" x14ac:dyDescent="0.3">
      <c r="U966" s="1"/>
    </row>
    <row r="967" spans="21:21" ht="20.100000000000001" customHeight="1" x14ac:dyDescent="0.3">
      <c r="U967" s="1"/>
    </row>
    <row r="968" spans="21:21" ht="20.100000000000001" customHeight="1" x14ac:dyDescent="0.3">
      <c r="U968" s="1"/>
    </row>
    <row r="969" spans="21:21" ht="20.100000000000001" customHeight="1" x14ac:dyDescent="0.3">
      <c r="U969" s="1"/>
    </row>
    <row r="970" spans="21:21" ht="20.100000000000001" customHeight="1" x14ac:dyDescent="0.3">
      <c r="U970" s="1"/>
    </row>
    <row r="971" spans="21:21" ht="20.100000000000001" customHeight="1" x14ac:dyDescent="0.3">
      <c r="U971" s="1"/>
    </row>
    <row r="972" spans="21:21" ht="20.100000000000001" customHeight="1" x14ac:dyDescent="0.3">
      <c r="U972" s="1"/>
    </row>
    <row r="973" spans="21:21" ht="20.100000000000001" customHeight="1" x14ac:dyDescent="0.3">
      <c r="U973" s="1"/>
    </row>
    <row r="974" spans="21:21" ht="20.100000000000001" customHeight="1" x14ac:dyDescent="0.3">
      <c r="U974" s="1"/>
    </row>
    <row r="975" spans="21:21" ht="20.100000000000001" customHeight="1" x14ac:dyDescent="0.3">
      <c r="U975" s="1"/>
    </row>
    <row r="976" spans="21:21" ht="20.100000000000001" customHeight="1" x14ac:dyDescent="0.3">
      <c r="U976" s="1"/>
    </row>
    <row r="977" spans="21:21" ht="20.100000000000001" customHeight="1" x14ac:dyDescent="0.3">
      <c r="U977" s="1"/>
    </row>
    <row r="978" spans="21:21" ht="20.100000000000001" customHeight="1" x14ac:dyDescent="0.3">
      <c r="U978" s="1"/>
    </row>
    <row r="979" spans="21:21" ht="20.100000000000001" customHeight="1" x14ac:dyDescent="0.3">
      <c r="U979" s="1"/>
    </row>
    <row r="980" spans="21:21" ht="20.100000000000001" customHeight="1" x14ac:dyDescent="0.3">
      <c r="U980" s="1"/>
    </row>
    <row r="981" spans="21:21" ht="20.100000000000001" customHeight="1" x14ac:dyDescent="0.3">
      <c r="U981" s="1"/>
    </row>
    <row r="982" spans="21:21" ht="20.100000000000001" customHeight="1" x14ac:dyDescent="0.3">
      <c r="U982" s="1"/>
    </row>
    <row r="983" spans="21:21" ht="20.100000000000001" customHeight="1" x14ac:dyDescent="0.3">
      <c r="U983" s="1"/>
    </row>
    <row r="984" spans="21:21" ht="20.100000000000001" customHeight="1" x14ac:dyDescent="0.3">
      <c r="U984" s="1"/>
    </row>
    <row r="985" spans="21:21" ht="20.100000000000001" customHeight="1" x14ac:dyDescent="0.3">
      <c r="U985" s="1"/>
    </row>
    <row r="986" spans="21:21" ht="20.100000000000001" customHeight="1" x14ac:dyDescent="0.3">
      <c r="U986" s="1"/>
    </row>
    <row r="987" spans="21:21" ht="20.100000000000001" customHeight="1" x14ac:dyDescent="0.3">
      <c r="U987" s="1"/>
    </row>
    <row r="988" spans="21:21" ht="20.100000000000001" customHeight="1" x14ac:dyDescent="0.3">
      <c r="U988" s="1"/>
    </row>
    <row r="989" spans="21:21" ht="20.100000000000001" customHeight="1" x14ac:dyDescent="0.3">
      <c r="U989" s="1"/>
    </row>
    <row r="990" spans="21:21" ht="20.100000000000001" customHeight="1" x14ac:dyDescent="0.3">
      <c r="U990" s="1"/>
    </row>
    <row r="991" spans="21:21" ht="20.100000000000001" customHeight="1" x14ac:dyDescent="0.3">
      <c r="U991" s="1"/>
    </row>
    <row r="992" spans="21:21" ht="20.100000000000001" customHeight="1" x14ac:dyDescent="0.3">
      <c r="U992" s="1"/>
    </row>
    <row r="993" spans="21:21" ht="20.100000000000001" customHeight="1" x14ac:dyDescent="0.3">
      <c r="U993" s="1"/>
    </row>
    <row r="994" spans="21:21" ht="20.100000000000001" customHeight="1" x14ac:dyDescent="0.3">
      <c r="U994" s="1"/>
    </row>
    <row r="995" spans="21:21" ht="20.100000000000001" customHeight="1" x14ac:dyDescent="0.3">
      <c r="U995" s="1"/>
    </row>
    <row r="996" spans="21:21" ht="20.100000000000001" customHeight="1" x14ac:dyDescent="0.3">
      <c r="U996" s="1"/>
    </row>
    <row r="997" spans="21:21" ht="20.100000000000001" customHeight="1" x14ac:dyDescent="0.3">
      <c r="U997" s="1"/>
    </row>
    <row r="998" spans="21:21" ht="20.100000000000001" customHeight="1" x14ac:dyDescent="0.3">
      <c r="U998" s="1"/>
    </row>
    <row r="999" spans="21:21" ht="20.100000000000001" customHeight="1" x14ac:dyDescent="0.3">
      <c r="U999" s="1"/>
    </row>
    <row r="1000" spans="21:21" ht="20.100000000000001" customHeight="1" x14ac:dyDescent="0.3">
      <c r="U1000" s="1"/>
    </row>
    <row r="1001" spans="21:21" ht="20.100000000000001" customHeight="1" x14ac:dyDescent="0.3">
      <c r="U1001" s="1"/>
    </row>
    <row r="1002" spans="21:21" ht="20.100000000000001" customHeight="1" x14ac:dyDescent="0.3">
      <c r="U1002" s="1"/>
    </row>
    <row r="1003" spans="21:21" ht="20.100000000000001" customHeight="1" x14ac:dyDescent="0.3">
      <c r="U1003" s="1"/>
    </row>
    <row r="1004" spans="21:21" ht="20.100000000000001" customHeight="1" x14ac:dyDescent="0.3">
      <c r="U1004" s="1"/>
    </row>
    <row r="1005" spans="21:21" ht="20.100000000000001" customHeight="1" x14ac:dyDescent="0.3">
      <c r="U1005" s="1"/>
    </row>
    <row r="1006" spans="21:21" ht="20.100000000000001" customHeight="1" x14ac:dyDescent="0.3">
      <c r="U1006" s="1"/>
    </row>
    <row r="1007" spans="21:21" ht="20.100000000000001" customHeight="1" x14ac:dyDescent="0.3">
      <c r="U1007" s="1"/>
    </row>
    <row r="1008" spans="21:21" ht="20.100000000000001" customHeight="1" x14ac:dyDescent="0.3">
      <c r="U1008" s="1"/>
    </row>
    <row r="1009" spans="21:21" ht="20.100000000000001" customHeight="1" x14ac:dyDescent="0.3">
      <c r="U1009" s="1"/>
    </row>
    <row r="1010" spans="21:21" ht="20.100000000000001" customHeight="1" x14ac:dyDescent="0.3">
      <c r="U1010" s="1"/>
    </row>
    <row r="1011" spans="21:21" ht="20.100000000000001" customHeight="1" x14ac:dyDescent="0.3">
      <c r="U1011" s="1"/>
    </row>
    <row r="1012" spans="21:21" ht="20.100000000000001" customHeight="1" x14ac:dyDescent="0.3">
      <c r="U1012" s="1"/>
    </row>
    <row r="1013" spans="21:21" ht="20.100000000000001" customHeight="1" x14ac:dyDescent="0.3">
      <c r="U1013" s="1"/>
    </row>
    <row r="1014" spans="21:21" ht="20.100000000000001" customHeight="1" x14ac:dyDescent="0.3">
      <c r="U1014" s="1"/>
    </row>
    <row r="1015" spans="21:21" ht="20.100000000000001" customHeight="1" x14ac:dyDescent="0.3">
      <c r="U1015" s="1"/>
    </row>
    <row r="1016" spans="21:21" ht="20.100000000000001" customHeight="1" x14ac:dyDescent="0.3">
      <c r="U1016" s="1"/>
    </row>
    <row r="1017" spans="21:21" ht="20.100000000000001" customHeight="1" x14ac:dyDescent="0.3">
      <c r="U1017" s="1"/>
    </row>
    <row r="1018" spans="21:21" ht="20.100000000000001" customHeight="1" x14ac:dyDescent="0.3">
      <c r="U1018" s="1"/>
    </row>
    <row r="1019" spans="21:21" ht="20.100000000000001" customHeight="1" x14ac:dyDescent="0.3">
      <c r="U1019" s="1"/>
    </row>
    <row r="1020" spans="21:21" ht="20.100000000000001" customHeight="1" x14ac:dyDescent="0.3">
      <c r="U1020" s="1"/>
    </row>
    <row r="1021" spans="21:21" ht="20.100000000000001" customHeight="1" x14ac:dyDescent="0.3">
      <c r="U1021" s="1"/>
    </row>
    <row r="1022" spans="21:21" ht="20.100000000000001" customHeight="1" x14ac:dyDescent="0.3">
      <c r="U1022" s="1"/>
    </row>
    <row r="1023" spans="21:21" ht="20.100000000000001" customHeight="1" x14ac:dyDescent="0.3">
      <c r="U1023" s="1"/>
    </row>
    <row r="1024" spans="21:21" ht="20.100000000000001" customHeight="1" x14ac:dyDescent="0.3">
      <c r="U1024" s="1"/>
    </row>
    <row r="1025" spans="21:21" ht="20.100000000000001" customHeight="1" x14ac:dyDescent="0.3">
      <c r="U1025" s="1"/>
    </row>
    <row r="1026" spans="21:21" ht="20.100000000000001" customHeight="1" x14ac:dyDescent="0.3">
      <c r="U1026" s="1"/>
    </row>
    <row r="1027" spans="21:21" ht="20.100000000000001" customHeight="1" x14ac:dyDescent="0.3">
      <c r="U1027" s="1"/>
    </row>
    <row r="1028" spans="21:21" ht="20.100000000000001" customHeight="1" x14ac:dyDescent="0.3">
      <c r="U1028" s="1"/>
    </row>
    <row r="1029" spans="21:21" ht="20.100000000000001" customHeight="1" x14ac:dyDescent="0.3">
      <c r="U1029" s="1"/>
    </row>
    <row r="1030" spans="21:21" ht="20.100000000000001" customHeight="1" x14ac:dyDescent="0.3">
      <c r="U1030" s="1"/>
    </row>
    <row r="1031" spans="21:21" ht="20.100000000000001" customHeight="1" x14ac:dyDescent="0.3">
      <c r="U1031" s="1"/>
    </row>
    <row r="1032" spans="21:21" ht="20.100000000000001" customHeight="1" x14ac:dyDescent="0.3">
      <c r="U1032" s="1"/>
    </row>
    <row r="1033" spans="21:21" x14ac:dyDescent="0.3">
      <c r="U1033" s="1"/>
    </row>
    <row r="1034" spans="21:21" x14ac:dyDescent="0.3">
      <c r="U1034" s="1"/>
    </row>
    <row r="1035" spans="21:21" x14ac:dyDescent="0.3">
      <c r="U1035" s="1"/>
    </row>
    <row r="1036" spans="21:21" x14ac:dyDescent="0.3">
      <c r="U1036" s="1"/>
    </row>
    <row r="1037" spans="21:21" x14ac:dyDescent="0.3">
      <c r="U1037" s="1"/>
    </row>
    <row r="1038" spans="21:21" x14ac:dyDescent="0.3">
      <c r="U1038" s="1"/>
    </row>
    <row r="1039" spans="21:21" x14ac:dyDescent="0.3">
      <c r="U1039" s="1"/>
    </row>
    <row r="1040" spans="21:21" x14ac:dyDescent="0.3">
      <c r="U1040" s="1"/>
    </row>
  </sheetData>
  <sheetProtection algorithmName="SHA-512" hashValue="3Kd6wek2Z+b+thV15xpo2ppgUpsnEBLOMaNCQMvT93zzugvFtAkvuqYf8RZOfsYGzsxyflXl7mFxXDMO6R49CQ==" saltValue="7IR6Jcl5lPTWZ0wR7R0/ag==" spinCount="100000" sheet="1" formatCells="0" formatColumns="0" formatRows="0" insertColumns="0" insertRows="0" insertHyperlinks="0" deleteColumns="0" deleteRows="0" sort="0" autoFilter="0" pivotTables="0"/>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C0ED4F-8F83-4018-B769-C727C10ADFAD}">
  <sheetPr codeName="Sheet3">
    <tabColor rgb="FF00B0F0"/>
  </sheetPr>
  <dimension ref="A1:W126"/>
  <sheetViews>
    <sheetView workbookViewId="0">
      <selection sqref="A1:W126"/>
    </sheetView>
  </sheetViews>
  <sheetFormatPr defaultRowHeight="14.4" x14ac:dyDescent="0.3"/>
  <cols>
    <col min="1" max="1" width="5" bestFit="1" customWidth="1"/>
    <col min="2" max="2" width="16.21875" bestFit="1" customWidth="1"/>
    <col min="3" max="3" width="30.109375" bestFit="1" customWidth="1"/>
    <col min="4" max="4" width="9.5546875" bestFit="1" customWidth="1"/>
    <col min="5" max="5" width="10.6640625" bestFit="1" customWidth="1"/>
    <col min="6" max="6" width="9" bestFit="1" customWidth="1"/>
    <col min="7" max="7" width="6.33203125" bestFit="1" customWidth="1"/>
    <col min="8" max="8" width="8.88671875" bestFit="1" customWidth="1"/>
    <col min="9" max="9" width="7.44140625" bestFit="1" customWidth="1"/>
    <col min="10" max="10" width="6.21875" bestFit="1" customWidth="1"/>
    <col min="11" max="11" width="7.6640625" bestFit="1" customWidth="1"/>
    <col min="12" max="12" width="13.21875" bestFit="1" customWidth="1"/>
    <col min="13" max="13" width="36.21875" bestFit="1" customWidth="1"/>
    <col min="14" max="14" width="5.44140625" bestFit="1" customWidth="1"/>
    <col min="15" max="16" width="10" bestFit="1" customWidth="1"/>
    <col min="17" max="19" width="15.6640625" bestFit="1" customWidth="1"/>
    <col min="20" max="20" width="13" bestFit="1" customWidth="1"/>
    <col min="21" max="21" width="15.6640625" bestFit="1" customWidth="1"/>
    <col min="22" max="22" width="9.6640625" bestFit="1" customWidth="1"/>
    <col min="23" max="23" width="22.21875" bestFit="1" customWidth="1"/>
    <col min="24" max="24" width="15.6640625" bestFit="1" customWidth="1"/>
    <col min="25" max="25" width="9.6640625" bestFit="1" customWidth="1"/>
    <col min="26" max="26" width="15.6640625" bestFit="1" customWidth="1"/>
    <col min="27" max="27" width="9.6640625" customWidth="1"/>
    <col min="28" max="28" width="13" bestFit="1" customWidth="1"/>
    <col min="29" max="29" width="15.109375" bestFit="1" customWidth="1"/>
    <col min="30" max="30" width="9.44140625" bestFit="1" customWidth="1"/>
  </cols>
  <sheetData>
    <row r="1" spans="1:23" x14ac:dyDescent="0.3">
      <c r="A1" t="s">
        <v>898</v>
      </c>
      <c r="B1" t="s">
        <v>0</v>
      </c>
      <c r="C1" t="s">
        <v>1</v>
      </c>
      <c r="D1" t="s">
        <v>889</v>
      </c>
      <c r="E1" t="s">
        <v>887</v>
      </c>
      <c r="F1" t="s">
        <v>322</v>
      </c>
      <c r="G1" t="s">
        <v>883</v>
      </c>
      <c r="H1" t="s">
        <v>899</v>
      </c>
      <c r="I1" t="s">
        <v>174</v>
      </c>
      <c r="J1" t="s">
        <v>175</v>
      </c>
      <c r="K1" t="s">
        <v>884</v>
      </c>
      <c r="L1" t="s">
        <v>180</v>
      </c>
      <c r="M1" t="s">
        <v>2</v>
      </c>
      <c r="N1" t="s">
        <v>885</v>
      </c>
      <c r="O1" t="s">
        <v>323</v>
      </c>
      <c r="P1" t="s">
        <v>324</v>
      </c>
      <c r="Q1" t="s">
        <v>12</v>
      </c>
      <c r="R1" t="s">
        <v>11</v>
      </c>
      <c r="S1" t="s">
        <v>3</v>
      </c>
      <c r="T1" t="s">
        <v>877</v>
      </c>
      <c r="U1" t="s">
        <v>4</v>
      </c>
      <c r="V1" t="s">
        <v>190</v>
      </c>
      <c r="W1" t="s">
        <v>933</v>
      </c>
    </row>
    <row r="2" spans="1:23" x14ac:dyDescent="0.3">
      <c r="A2">
        <v>1</v>
      </c>
      <c r="B2" t="s">
        <v>326</v>
      </c>
      <c r="C2" t="s">
        <v>14</v>
      </c>
      <c r="D2" t="s">
        <v>890</v>
      </c>
      <c r="E2" t="s">
        <v>888</v>
      </c>
      <c r="F2" t="s">
        <v>8</v>
      </c>
      <c r="G2" t="s">
        <v>150</v>
      </c>
      <c r="H2" t="s">
        <v>151</v>
      </c>
      <c r="J2">
        <v>0</v>
      </c>
      <c r="K2" t="s">
        <v>167</v>
      </c>
      <c r="L2" t="s">
        <v>900</v>
      </c>
      <c r="M2" t="s">
        <v>327</v>
      </c>
      <c r="N2">
        <v>1</v>
      </c>
      <c r="O2">
        <v>10160</v>
      </c>
      <c r="P2" t="s">
        <v>16</v>
      </c>
      <c r="Q2" s="83">
        <v>45500</v>
      </c>
      <c r="R2" s="83">
        <v>45520</v>
      </c>
      <c r="S2" s="83">
        <v>45514</v>
      </c>
      <c r="T2">
        <v>14</v>
      </c>
      <c r="U2" t="s">
        <v>878</v>
      </c>
      <c r="V2" t="s">
        <v>198</v>
      </c>
      <c r="W2" t="s">
        <v>934</v>
      </c>
    </row>
    <row r="3" spans="1:23" x14ac:dyDescent="0.3">
      <c r="A3">
        <v>2</v>
      </c>
      <c r="B3" t="s">
        <v>18</v>
      </c>
      <c r="C3" t="s">
        <v>19</v>
      </c>
      <c r="D3" t="s">
        <v>891</v>
      </c>
      <c r="E3" t="s">
        <v>888</v>
      </c>
      <c r="F3" t="s">
        <v>8</v>
      </c>
      <c r="G3" t="s">
        <v>150</v>
      </c>
      <c r="H3" t="s">
        <v>151</v>
      </c>
      <c r="J3">
        <v>0</v>
      </c>
      <c r="K3" t="s">
        <v>168</v>
      </c>
      <c r="L3" t="s">
        <v>900</v>
      </c>
      <c r="M3" t="s">
        <v>332</v>
      </c>
      <c r="N3">
        <v>1</v>
      </c>
      <c r="O3">
        <v>10160</v>
      </c>
      <c r="P3" t="s">
        <v>886</v>
      </c>
      <c r="Q3" s="83">
        <v>45501</v>
      </c>
      <c r="R3" s="83">
        <v>45520</v>
      </c>
      <c r="S3" s="83">
        <v>45515</v>
      </c>
      <c r="T3">
        <v>14</v>
      </c>
      <c r="U3" t="s">
        <v>878</v>
      </c>
      <c r="V3" t="s">
        <v>198</v>
      </c>
      <c r="W3" t="s">
        <v>934</v>
      </c>
    </row>
    <row r="4" spans="1:23" x14ac:dyDescent="0.3">
      <c r="A4">
        <v>3</v>
      </c>
      <c r="B4" t="s">
        <v>22</v>
      </c>
      <c r="C4" t="s">
        <v>336</v>
      </c>
      <c r="D4" t="s">
        <v>892</v>
      </c>
      <c r="E4" t="s">
        <v>888</v>
      </c>
      <c r="F4" t="s">
        <v>8</v>
      </c>
      <c r="G4" t="s">
        <v>150</v>
      </c>
      <c r="H4" t="s">
        <v>165</v>
      </c>
      <c r="I4" t="s">
        <v>155</v>
      </c>
      <c r="J4">
        <v>90</v>
      </c>
      <c r="K4" t="s">
        <v>170</v>
      </c>
      <c r="L4" t="s">
        <v>900</v>
      </c>
      <c r="M4" t="s">
        <v>338</v>
      </c>
      <c r="N4">
        <v>1</v>
      </c>
      <c r="O4">
        <v>11455</v>
      </c>
      <c r="P4" t="s">
        <v>886</v>
      </c>
      <c r="Q4" s="83">
        <v>45500</v>
      </c>
      <c r="R4" s="83">
        <v>45520</v>
      </c>
      <c r="S4" s="83"/>
      <c r="U4" t="s">
        <v>192</v>
      </c>
      <c r="V4" t="s">
        <v>192</v>
      </c>
      <c r="W4" t="s">
        <v>935</v>
      </c>
    </row>
    <row r="5" spans="1:23" x14ac:dyDescent="0.3">
      <c r="A5">
        <v>4</v>
      </c>
      <c r="B5" t="s">
        <v>25</v>
      </c>
      <c r="C5" t="s">
        <v>117</v>
      </c>
      <c r="D5" t="s">
        <v>893</v>
      </c>
      <c r="E5" t="s">
        <v>888</v>
      </c>
      <c r="F5" t="s">
        <v>8</v>
      </c>
      <c r="G5" t="s">
        <v>292</v>
      </c>
      <c r="J5">
        <v>0</v>
      </c>
      <c r="K5" t="s">
        <v>900</v>
      </c>
      <c r="L5" t="s">
        <v>900</v>
      </c>
      <c r="M5" t="s">
        <v>342</v>
      </c>
      <c r="N5">
        <v>1</v>
      </c>
      <c r="O5">
        <v>8642</v>
      </c>
      <c r="P5" t="s">
        <v>16</v>
      </c>
      <c r="Q5" s="83">
        <v>45529</v>
      </c>
      <c r="R5" s="83">
        <v>45542</v>
      </c>
      <c r="S5" s="83">
        <v>45531</v>
      </c>
      <c r="T5">
        <v>2</v>
      </c>
      <c r="U5" t="s">
        <v>878</v>
      </c>
      <c r="V5" t="s">
        <v>198</v>
      </c>
      <c r="W5" t="s">
        <v>934</v>
      </c>
    </row>
    <row r="6" spans="1:23" x14ac:dyDescent="0.3">
      <c r="A6">
        <v>5</v>
      </c>
      <c r="B6" t="s">
        <v>347</v>
      </c>
      <c r="C6" t="s">
        <v>336</v>
      </c>
      <c r="D6" t="s">
        <v>892</v>
      </c>
      <c r="E6" t="s">
        <v>888</v>
      </c>
      <c r="F6" t="s">
        <v>8</v>
      </c>
      <c r="G6" t="s">
        <v>150</v>
      </c>
      <c r="H6" t="s">
        <v>165</v>
      </c>
      <c r="I6" t="s">
        <v>152</v>
      </c>
      <c r="J6">
        <v>100</v>
      </c>
      <c r="K6" t="s">
        <v>172</v>
      </c>
      <c r="L6" t="s">
        <v>900</v>
      </c>
      <c r="M6" t="s">
        <v>349</v>
      </c>
      <c r="N6">
        <v>1</v>
      </c>
      <c r="O6">
        <v>12833</v>
      </c>
      <c r="P6" t="s">
        <v>886</v>
      </c>
      <c r="Q6" s="83">
        <v>45520</v>
      </c>
      <c r="R6" s="83">
        <v>45535</v>
      </c>
      <c r="S6" s="83"/>
      <c r="U6" t="s">
        <v>192</v>
      </c>
      <c r="V6" t="s">
        <v>192</v>
      </c>
      <c r="W6" t="s">
        <v>935</v>
      </c>
    </row>
    <row r="7" spans="1:23" x14ac:dyDescent="0.3">
      <c r="A7">
        <v>6</v>
      </c>
      <c r="B7" t="s">
        <v>52</v>
      </c>
      <c r="C7" t="s">
        <v>900</v>
      </c>
      <c r="D7" t="s">
        <v>900</v>
      </c>
      <c r="E7" t="s">
        <v>901</v>
      </c>
      <c r="F7" t="s">
        <v>52</v>
      </c>
      <c r="G7" t="s">
        <v>161</v>
      </c>
      <c r="H7" t="s">
        <v>164</v>
      </c>
      <c r="J7">
        <v>120</v>
      </c>
      <c r="K7" t="s">
        <v>172</v>
      </c>
      <c r="L7" t="s">
        <v>900</v>
      </c>
      <c r="M7" t="s">
        <v>354</v>
      </c>
      <c r="N7">
        <v>1</v>
      </c>
      <c r="O7">
        <v>14550</v>
      </c>
      <c r="P7" t="s">
        <v>16</v>
      </c>
      <c r="Q7" s="83">
        <v>45518</v>
      </c>
      <c r="R7" s="83">
        <v>45538</v>
      </c>
      <c r="S7" s="83">
        <v>45540</v>
      </c>
      <c r="T7">
        <v>22</v>
      </c>
      <c r="U7" t="s">
        <v>878</v>
      </c>
      <c r="V7" t="s">
        <v>198</v>
      </c>
      <c r="W7" t="s">
        <v>936</v>
      </c>
    </row>
    <row r="8" spans="1:23" x14ac:dyDescent="0.3">
      <c r="A8">
        <v>7</v>
      </c>
      <c r="B8" t="s">
        <v>359</v>
      </c>
      <c r="C8" t="s">
        <v>34</v>
      </c>
      <c r="D8" t="s">
        <v>894</v>
      </c>
      <c r="E8" t="s">
        <v>888</v>
      </c>
      <c r="F8" t="s">
        <v>35</v>
      </c>
      <c r="G8" t="s">
        <v>161</v>
      </c>
      <c r="H8" t="s">
        <v>164</v>
      </c>
      <c r="J8">
        <v>120</v>
      </c>
      <c r="K8" t="s">
        <v>172</v>
      </c>
      <c r="L8" t="s">
        <v>900</v>
      </c>
      <c r="M8" t="s">
        <v>354</v>
      </c>
      <c r="N8">
        <v>1</v>
      </c>
      <c r="O8">
        <v>12000</v>
      </c>
      <c r="P8" t="s">
        <v>886</v>
      </c>
      <c r="Q8" s="83">
        <v>45521</v>
      </c>
      <c r="R8" s="83">
        <v>45524</v>
      </c>
      <c r="S8" s="83">
        <v>45523</v>
      </c>
      <c r="T8">
        <v>2</v>
      </c>
      <c r="U8" t="s">
        <v>878</v>
      </c>
      <c r="V8" t="s">
        <v>198</v>
      </c>
      <c r="W8" t="s">
        <v>934</v>
      </c>
    </row>
    <row r="9" spans="1:23" x14ac:dyDescent="0.3">
      <c r="A9">
        <v>8</v>
      </c>
      <c r="B9" t="s">
        <v>38</v>
      </c>
      <c r="C9" t="s">
        <v>278</v>
      </c>
      <c r="D9" t="s">
        <v>890</v>
      </c>
      <c r="E9" t="s">
        <v>888</v>
      </c>
      <c r="F9" t="s">
        <v>8</v>
      </c>
      <c r="G9" t="s">
        <v>150</v>
      </c>
      <c r="H9" t="s">
        <v>153</v>
      </c>
      <c r="J9">
        <v>0</v>
      </c>
      <c r="K9" t="s">
        <v>167</v>
      </c>
      <c r="L9" t="s">
        <v>900</v>
      </c>
      <c r="M9" t="s">
        <v>365</v>
      </c>
      <c r="N9">
        <v>1</v>
      </c>
      <c r="O9">
        <v>7228</v>
      </c>
      <c r="P9" t="s">
        <v>16</v>
      </c>
      <c r="Q9" s="83">
        <v>45529</v>
      </c>
      <c r="R9" s="83">
        <v>45538</v>
      </c>
      <c r="S9" s="83">
        <v>45545</v>
      </c>
      <c r="T9">
        <v>16</v>
      </c>
      <c r="U9" t="s">
        <v>878</v>
      </c>
      <c r="V9" t="s">
        <v>198</v>
      </c>
      <c r="W9" t="s">
        <v>936</v>
      </c>
    </row>
    <row r="10" spans="1:23" x14ac:dyDescent="0.3">
      <c r="A10">
        <v>9</v>
      </c>
      <c r="B10" t="s">
        <v>43</v>
      </c>
      <c r="C10" t="s">
        <v>42</v>
      </c>
      <c r="D10" t="s">
        <v>894</v>
      </c>
      <c r="E10" t="s">
        <v>888</v>
      </c>
      <c r="F10" t="s">
        <v>43</v>
      </c>
      <c r="G10" t="s">
        <v>158</v>
      </c>
      <c r="H10" t="s">
        <v>160</v>
      </c>
      <c r="J10">
        <v>0</v>
      </c>
      <c r="K10" t="s">
        <v>900</v>
      </c>
      <c r="L10" t="s">
        <v>900</v>
      </c>
      <c r="M10" t="s">
        <v>369</v>
      </c>
      <c r="N10">
        <v>1</v>
      </c>
      <c r="O10">
        <v>22000</v>
      </c>
      <c r="P10" t="s">
        <v>886</v>
      </c>
      <c r="Q10" s="83">
        <v>45523</v>
      </c>
      <c r="R10" s="83">
        <v>45536</v>
      </c>
      <c r="S10" s="83">
        <v>45552</v>
      </c>
      <c r="T10">
        <v>29</v>
      </c>
      <c r="U10" t="s">
        <v>198</v>
      </c>
      <c r="V10" t="s">
        <v>198</v>
      </c>
      <c r="W10" t="s">
        <v>936</v>
      </c>
    </row>
    <row r="11" spans="1:23" x14ac:dyDescent="0.3">
      <c r="A11">
        <v>10</v>
      </c>
      <c r="B11" t="s">
        <v>43</v>
      </c>
      <c r="C11" t="s">
        <v>42</v>
      </c>
      <c r="D11" t="s">
        <v>894</v>
      </c>
      <c r="E11" t="s">
        <v>888</v>
      </c>
      <c r="F11" t="s">
        <v>43</v>
      </c>
      <c r="G11" t="s">
        <v>161</v>
      </c>
      <c r="H11" t="s">
        <v>159</v>
      </c>
      <c r="J11">
        <v>0</v>
      </c>
      <c r="K11" t="s">
        <v>900</v>
      </c>
      <c r="L11" t="s">
        <v>900</v>
      </c>
      <c r="M11" t="s">
        <v>45</v>
      </c>
      <c r="N11">
        <v>2</v>
      </c>
      <c r="O11">
        <v>16000</v>
      </c>
      <c r="P11" t="s">
        <v>886</v>
      </c>
      <c r="Q11" s="83"/>
      <c r="R11" s="83"/>
      <c r="S11" s="83"/>
      <c r="U11" t="s">
        <v>879</v>
      </c>
      <c r="V11" t="s">
        <v>879</v>
      </c>
      <c r="W11" t="s">
        <v>935</v>
      </c>
    </row>
    <row r="12" spans="1:23" x14ac:dyDescent="0.3">
      <c r="A12">
        <v>11</v>
      </c>
      <c r="B12" t="s">
        <v>43</v>
      </c>
      <c r="C12" t="s">
        <v>42</v>
      </c>
      <c r="D12" t="s">
        <v>894</v>
      </c>
      <c r="E12" t="s">
        <v>888</v>
      </c>
      <c r="F12" t="s">
        <v>43</v>
      </c>
      <c r="G12" t="s">
        <v>161</v>
      </c>
      <c r="H12" t="s">
        <v>159</v>
      </c>
      <c r="J12">
        <v>0</v>
      </c>
      <c r="K12" t="s">
        <v>900</v>
      </c>
      <c r="L12" t="s">
        <v>900</v>
      </c>
      <c r="M12" t="s">
        <v>377</v>
      </c>
      <c r="N12">
        <v>2</v>
      </c>
      <c r="O12">
        <v>6000</v>
      </c>
      <c r="P12" t="s">
        <v>886</v>
      </c>
      <c r="Q12" s="83">
        <v>45529</v>
      </c>
      <c r="R12" s="83">
        <v>45550</v>
      </c>
      <c r="S12" s="83">
        <v>45552</v>
      </c>
      <c r="T12">
        <v>23</v>
      </c>
      <c r="U12" t="s">
        <v>880</v>
      </c>
      <c r="V12" t="s">
        <v>198</v>
      </c>
      <c r="W12" t="s">
        <v>936</v>
      </c>
    </row>
    <row r="13" spans="1:23" x14ac:dyDescent="0.3">
      <c r="A13">
        <v>12</v>
      </c>
      <c r="B13" t="s">
        <v>43</v>
      </c>
      <c r="C13" t="s">
        <v>42</v>
      </c>
      <c r="D13" t="s">
        <v>894</v>
      </c>
      <c r="E13" t="s">
        <v>888</v>
      </c>
      <c r="F13" t="s">
        <v>43</v>
      </c>
      <c r="G13" t="s">
        <v>161</v>
      </c>
      <c r="H13" t="s">
        <v>159</v>
      </c>
      <c r="J13">
        <v>0</v>
      </c>
      <c r="K13" t="s">
        <v>900</v>
      </c>
      <c r="L13" t="s">
        <v>900</v>
      </c>
      <c r="M13" t="s">
        <v>377</v>
      </c>
      <c r="N13">
        <v>2</v>
      </c>
      <c r="O13">
        <v>6000</v>
      </c>
      <c r="P13" t="s">
        <v>886</v>
      </c>
      <c r="Q13" s="83">
        <v>45529</v>
      </c>
      <c r="R13" s="83">
        <v>45550</v>
      </c>
      <c r="S13" s="83">
        <v>45552</v>
      </c>
      <c r="T13">
        <v>23</v>
      </c>
      <c r="U13" t="s">
        <v>880</v>
      </c>
      <c r="V13" t="s">
        <v>198</v>
      </c>
      <c r="W13" t="s">
        <v>936</v>
      </c>
    </row>
    <row r="14" spans="1:23" x14ac:dyDescent="0.3">
      <c r="A14">
        <v>13</v>
      </c>
      <c r="B14" t="s">
        <v>383</v>
      </c>
      <c r="C14" t="s">
        <v>49</v>
      </c>
      <c r="D14" t="s">
        <v>894</v>
      </c>
      <c r="E14" t="s">
        <v>888</v>
      </c>
      <c r="F14" t="s">
        <v>8</v>
      </c>
      <c r="G14" t="s">
        <v>150</v>
      </c>
      <c r="H14" t="s">
        <v>165</v>
      </c>
      <c r="I14" t="s">
        <v>152</v>
      </c>
      <c r="J14">
        <v>80</v>
      </c>
      <c r="K14" t="s">
        <v>167</v>
      </c>
      <c r="L14" t="s">
        <v>900</v>
      </c>
      <c r="M14" t="s">
        <v>50</v>
      </c>
      <c r="N14">
        <v>1</v>
      </c>
      <c r="O14">
        <v>10499</v>
      </c>
      <c r="P14" t="s">
        <v>886</v>
      </c>
      <c r="Q14" s="83">
        <v>45536</v>
      </c>
      <c r="R14" s="83">
        <v>45551</v>
      </c>
      <c r="S14" s="83">
        <v>45543</v>
      </c>
      <c r="T14">
        <v>7</v>
      </c>
      <c r="U14" t="s">
        <v>878</v>
      </c>
      <c r="V14" t="s">
        <v>198</v>
      </c>
      <c r="W14" t="s">
        <v>934</v>
      </c>
    </row>
    <row r="15" spans="1:23" x14ac:dyDescent="0.3">
      <c r="A15">
        <v>14</v>
      </c>
      <c r="B15" t="s">
        <v>392</v>
      </c>
      <c r="C15" t="s">
        <v>278</v>
      </c>
      <c r="D15" t="s">
        <v>890</v>
      </c>
      <c r="E15" t="s">
        <v>888</v>
      </c>
      <c r="F15" t="s">
        <v>8</v>
      </c>
      <c r="G15" t="s">
        <v>150</v>
      </c>
      <c r="H15" t="s">
        <v>153</v>
      </c>
      <c r="I15" t="s">
        <v>152</v>
      </c>
      <c r="J15">
        <v>80</v>
      </c>
      <c r="K15" t="s">
        <v>167</v>
      </c>
      <c r="L15" t="s">
        <v>900</v>
      </c>
      <c r="M15" t="s">
        <v>66</v>
      </c>
      <c r="N15">
        <v>1</v>
      </c>
      <c r="O15">
        <v>7295</v>
      </c>
      <c r="P15" t="s">
        <v>886</v>
      </c>
      <c r="Q15" s="83">
        <v>45540</v>
      </c>
      <c r="R15" s="83">
        <v>45549</v>
      </c>
      <c r="S15" s="83"/>
      <c r="U15" t="s">
        <v>879</v>
      </c>
      <c r="V15" t="s">
        <v>879</v>
      </c>
      <c r="W15" t="s">
        <v>935</v>
      </c>
    </row>
    <row r="16" spans="1:23" x14ac:dyDescent="0.3">
      <c r="A16">
        <v>15</v>
      </c>
      <c r="B16" t="s">
        <v>399</v>
      </c>
      <c r="C16" t="s">
        <v>400</v>
      </c>
      <c r="D16" t="s">
        <v>894</v>
      </c>
      <c r="E16" t="s">
        <v>888</v>
      </c>
      <c r="F16" t="s">
        <v>8</v>
      </c>
      <c r="G16" t="s">
        <v>292</v>
      </c>
      <c r="H16" t="s">
        <v>187</v>
      </c>
      <c r="J16">
        <v>0</v>
      </c>
      <c r="K16" t="s">
        <v>900</v>
      </c>
      <c r="L16" t="s">
        <v>900</v>
      </c>
      <c r="M16" t="s">
        <v>401</v>
      </c>
      <c r="N16">
        <v>1</v>
      </c>
      <c r="O16">
        <v>7849</v>
      </c>
      <c r="P16" t="s">
        <v>16</v>
      </c>
      <c r="Q16" s="83">
        <v>45539</v>
      </c>
      <c r="R16" s="83">
        <v>45551</v>
      </c>
      <c r="S16" s="83">
        <v>45560</v>
      </c>
      <c r="T16">
        <v>21</v>
      </c>
      <c r="U16" t="s">
        <v>878</v>
      </c>
      <c r="V16" t="s">
        <v>208</v>
      </c>
      <c r="W16" t="s">
        <v>936</v>
      </c>
    </row>
    <row r="17" spans="1:23" x14ac:dyDescent="0.3">
      <c r="A17">
        <v>16</v>
      </c>
      <c r="B17" t="s">
        <v>405</v>
      </c>
      <c r="C17" t="s">
        <v>34</v>
      </c>
      <c r="D17" t="s">
        <v>894</v>
      </c>
      <c r="E17" t="s">
        <v>888</v>
      </c>
      <c r="F17" t="s">
        <v>406</v>
      </c>
      <c r="G17" t="s">
        <v>150</v>
      </c>
      <c r="H17" t="s">
        <v>165</v>
      </c>
      <c r="I17" t="s">
        <v>155</v>
      </c>
      <c r="J17">
        <v>120</v>
      </c>
      <c r="K17" t="s">
        <v>168</v>
      </c>
      <c r="L17" t="s">
        <v>900</v>
      </c>
      <c r="M17" t="s">
        <v>408</v>
      </c>
      <c r="N17">
        <v>2</v>
      </c>
      <c r="O17">
        <v>6180</v>
      </c>
      <c r="P17" t="s">
        <v>886</v>
      </c>
      <c r="Q17" s="83">
        <v>45538</v>
      </c>
      <c r="R17" s="83">
        <v>45551</v>
      </c>
      <c r="S17" s="83">
        <v>45550</v>
      </c>
      <c r="T17">
        <v>12</v>
      </c>
      <c r="U17" t="s">
        <v>880</v>
      </c>
      <c r="V17" t="s">
        <v>198</v>
      </c>
      <c r="W17" t="s">
        <v>934</v>
      </c>
    </row>
    <row r="18" spans="1:23" x14ac:dyDescent="0.3">
      <c r="A18">
        <v>17</v>
      </c>
      <c r="B18" t="s">
        <v>405</v>
      </c>
      <c r="C18" t="s">
        <v>34</v>
      </c>
      <c r="D18" t="s">
        <v>894</v>
      </c>
      <c r="E18" t="s">
        <v>888</v>
      </c>
      <c r="F18" t="s">
        <v>406</v>
      </c>
      <c r="G18" t="s">
        <v>150</v>
      </c>
      <c r="H18" t="s">
        <v>165</v>
      </c>
      <c r="I18" t="s">
        <v>155</v>
      </c>
      <c r="J18">
        <v>120</v>
      </c>
      <c r="K18" t="s">
        <v>168</v>
      </c>
      <c r="L18" t="s">
        <v>900</v>
      </c>
      <c r="M18" t="s">
        <v>408</v>
      </c>
      <c r="N18">
        <v>2</v>
      </c>
      <c r="O18">
        <v>6180</v>
      </c>
      <c r="P18" t="s">
        <v>886</v>
      </c>
      <c r="Q18" s="83">
        <v>45538</v>
      </c>
      <c r="R18" s="83">
        <v>45551</v>
      </c>
      <c r="S18" s="83">
        <v>45550</v>
      </c>
      <c r="T18">
        <v>12</v>
      </c>
      <c r="U18" t="s">
        <v>880</v>
      </c>
      <c r="V18" t="s">
        <v>198</v>
      </c>
      <c r="W18" t="s">
        <v>934</v>
      </c>
    </row>
    <row r="19" spans="1:23" x14ac:dyDescent="0.3">
      <c r="A19">
        <v>18</v>
      </c>
      <c r="B19" t="s">
        <v>58</v>
      </c>
      <c r="C19" t="s">
        <v>415</v>
      </c>
      <c r="D19" t="s">
        <v>894</v>
      </c>
      <c r="E19" t="s">
        <v>888</v>
      </c>
      <c r="F19" t="s">
        <v>8</v>
      </c>
      <c r="G19" t="s">
        <v>150</v>
      </c>
      <c r="H19" t="s">
        <v>165</v>
      </c>
      <c r="I19" t="s">
        <v>154</v>
      </c>
      <c r="J19">
        <v>80</v>
      </c>
      <c r="K19" t="s">
        <v>167</v>
      </c>
      <c r="L19" t="s">
        <v>900</v>
      </c>
      <c r="M19" t="s">
        <v>416</v>
      </c>
      <c r="N19">
        <v>1</v>
      </c>
      <c r="O19">
        <v>11199</v>
      </c>
      <c r="P19" t="s">
        <v>886</v>
      </c>
      <c r="Q19" s="83">
        <v>45539</v>
      </c>
      <c r="R19" s="83">
        <v>45553</v>
      </c>
      <c r="S19" s="83"/>
      <c r="U19" t="s">
        <v>879</v>
      </c>
      <c r="V19" t="s">
        <v>879</v>
      </c>
      <c r="W19" t="s">
        <v>935</v>
      </c>
    </row>
    <row r="20" spans="1:23" x14ac:dyDescent="0.3">
      <c r="A20">
        <v>19</v>
      </c>
      <c r="B20" t="s">
        <v>359</v>
      </c>
      <c r="C20" t="s">
        <v>67</v>
      </c>
      <c r="D20" t="s">
        <v>894</v>
      </c>
      <c r="E20" t="s">
        <v>888</v>
      </c>
      <c r="F20" t="s">
        <v>8</v>
      </c>
      <c r="G20" t="s">
        <v>150</v>
      </c>
      <c r="H20" t="s">
        <v>153</v>
      </c>
      <c r="I20" t="s">
        <v>177</v>
      </c>
      <c r="J20">
        <v>80</v>
      </c>
      <c r="K20" t="s">
        <v>167</v>
      </c>
      <c r="L20" t="s">
        <v>900</v>
      </c>
      <c r="M20" t="s">
        <v>68</v>
      </c>
      <c r="N20">
        <v>4</v>
      </c>
      <c r="O20">
        <v>7987</v>
      </c>
      <c r="P20" t="s">
        <v>16</v>
      </c>
      <c r="Q20" s="83">
        <v>45541</v>
      </c>
      <c r="R20" s="83">
        <v>45551</v>
      </c>
      <c r="S20" s="83">
        <v>45556</v>
      </c>
      <c r="T20">
        <v>15</v>
      </c>
      <c r="U20" t="s">
        <v>880</v>
      </c>
      <c r="V20" t="s">
        <v>198</v>
      </c>
      <c r="W20" t="s">
        <v>936</v>
      </c>
    </row>
    <row r="21" spans="1:23" x14ac:dyDescent="0.3">
      <c r="A21">
        <v>20</v>
      </c>
      <c r="B21" t="s">
        <v>43</v>
      </c>
      <c r="C21" t="s">
        <v>42</v>
      </c>
      <c r="D21" t="s">
        <v>894</v>
      </c>
      <c r="E21" t="s">
        <v>888</v>
      </c>
      <c r="F21" t="s">
        <v>43</v>
      </c>
      <c r="G21" t="s">
        <v>162</v>
      </c>
      <c r="H21" t="s">
        <v>215</v>
      </c>
      <c r="J21">
        <v>0</v>
      </c>
      <c r="K21" t="s">
        <v>900</v>
      </c>
      <c r="L21" t="s">
        <v>900</v>
      </c>
      <c r="M21" t="s">
        <v>426</v>
      </c>
      <c r="N21">
        <v>2</v>
      </c>
      <c r="O21">
        <v>9300</v>
      </c>
      <c r="P21" t="s">
        <v>886</v>
      </c>
      <c r="Q21" s="83">
        <v>45539</v>
      </c>
      <c r="R21" s="83">
        <v>45550</v>
      </c>
      <c r="S21" s="83">
        <v>45552</v>
      </c>
      <c r="T21">
        <v>13</v>
      </c>
      <c r="U21" t="s">
        <v>880</v>
      </c>
      <c r="V21" t="s">
        <v>198</v>
      </c>
      <c r="W21" t="s">
        <v>936</v>
      </c>
    </row>
    <row r="22" spans="1:23" x14ac:dyDescent="0.3">
      <c r="A22">
        <v>21</v>
      </c>
      <c r="B22" t="s">
        <v>359</v>
      </c>
      <c r="C22" t="s">
        <v>67</v>
      </c>
      <c r="D22" t="s">
        <v>894</v>
      </c>
      <c r="E22" t="s">
        <v>888</v>
      </c>
      <c r="F22" t="s">
        <v>8</v>
      </c>
      <c r="G22" t="s">
        <v>150</v>
      </c>
      <c r="H22" t="s">
        <v>153</v>
      </c>
      <c r="I22" t="s">
        <v>177</v>
      </c>
      <c r="J22">
        <v>80</v>
      </c>
      <c r="K22" t="s">
        <v>167</v>
      </c>
      <c r="L22" t="s">
        <v>900</v>
      </c>
      <c r="M22" t="s">
        <v>68</v>
      </c>
      <c r="N22">
        <v>4</v>
      </c>
      <c r="O22">
        <v>7987</v>
      </c>
      <c r="P22" t="s">
        <v>16</v>
      </c>
      <c r="Q22" s="83">
        <v>45541</v>
      </c>
      <c r="R22" s="83">
        <v>45551</v>
      </c>
      <c r="S22" s="83">
        <v>45556</v>
      </c>
      <c r="T22">
        <v>15</v>
      </c>
      <c r="U22" t="s">
        <v>880</v>
      </c>
      <c r="V22" t="s">
        <v>198</v>
      </c>
      <c r="W22" t="s">
        <v>936</v>
      </c>
    </row>
    <row r="23" spans="1:23" x14ac:dyDescent="0.3">
      <c r="A23">
        <v>22</v>
      </c>
      <c r="B23" t="s">
        <v>359</v>
      </c>
      <c r="C23" t="s">
        <v>67</v>
      </c>
      <c r="D23" t="s">
        <v>894</v>
      </c>
      <c r="E23" t="s">
        <v>888</v>
      </c>
      <c r="F23" t="s">
        <v>8</v>
      </c>
      <c r="G23" t="s">
        <v>150</v>
      </c>
      <c r="H23" t="s">
        <v>153</v>
      </c>
      <c r="I23" t="s">
        <v>177</v>
      </c>
      <c r="J23">
        <v>80</v>
      </c>
      <c r="K23" t="s">
        <v>167</v>
      </c>
      <c r="L23" t="s">
        <v>900</v>
      </c>
      <c r="M23" t="s">
        <v>68</v>
      </c>
      <c r="N23">
        <v>4</v>
      </c>
      <c r="O23">
        <v>7987</v>
      </c>
      <c r="P23" t="s">
        <v>16</v>
      </c>
      <c r="Q23" s="83">
        <v>45541</v>
      </c>
      <c r="R23" s="83">
        <v>45551</v>
      </c>
      <c r="S23" s="83">
        <v>45556</v>
      </c>
      <c r="T23">
        <v>15</v>
      </c>
      <c r="U23" t="s">
        <v>880</v>
      </c>
      <c r="V23" t="s">
        <v>198</v>
      </c>
      <c r="W23" t="s">
        <v>936</v>
      </c>
    </row>
    <row r="24" spans="1:23" x14ac:dyDescent="0.3">
      <c r="A24">
        <v>23</v>
      </c>
      <c r="B24" t="s">
        <v>359</v>
      </c>
      <c r="C24" t="s">
        <v>67</v>
      </c>
      <c r="D24" t="s">
        <v>894</v>
      </c>
      <c r="E24" t="s">
        <v>888</v>
      </c>
      <c r="F24" t="s">
        <v>8</v>
      </c>
      <c r="G24" t="s">
        <v>150</v>
      </c>
      <c r="H24" t="s">
        <v>153</v>
      </c>
      <c r="I24" t="s">
        <v>177</v>
      </c>
      <c r="J24">
        <v>80</v>
      </c>
      <c r="K24" t="s">
        <v>167</v>
      </c>
      <c r="L24" t="s">
        <v>900</v>
      </c>
      <c r="M24" t="s">
        <v>68</v>
      </c>
      <c r="N24">
        <v>4</v>
      </c>
      <c r="O24">
        <v>7987</v>
      </c>
      <c r="P24" t="s">
        <v>16</v>
      </c>
      <c r="Q24" s="83">
        <v>45541</v>
      </c>
      <c r="R24" s="83">
        <v>45551</v>
      </c>
      <c r="S24" s="83">
        <v>45556</v>
      </c>
      <c r="T24">
        <v>15</v>
      </c>
      <c r="U24" t="s">
        <v>880</v>
      </c>
      <c r="V24" t="s">
        <v>198</v>
      </c>
      <c r="W24" t="s">
        <v>936</v>
      </c>
    </row>
    <row r="25" spans="1:23" x14ac:dyDescent="0.3">
      <c r="A25">
        <v>24</v>
      </c>
      <c r="B25" t="s">
        <v>106</v>
      </c>
      <c r="C25" t="s">
        <v>107</v>
      </c>
      <c r="D25" t="s">
        <v>894</v>
      </c>
      <c r="E25" t="s">
        <v>888</v>
      </c>
      <c r="F25" t="s">
        <v>8</v>
      </c>
      <c r="G25" t="s">
        <v>292</v>
      </c>
      <c r="H25" t="s">
        <v>187</v>
      </c>
      <c r="J25">
        <v>0</v>
      </c>
      <c r="K25" t="s">
        <v>900</v>
      </c>
      <c r="L25" t="s">
        <v>900</v>
      </c>
      <c r="M25" t="s">
        <v>401</v>
      </c>
      <c r="N25">
        <v>1</v>
      </c>
      <c r="O25">
        <v>8849</v>
      </c>
      <c r="P25" t="s">
        <v>16</v>
      </c>
      <c r="Q25" s="83">
        <v>45538</v>
      </c>
      <c r="R25" s="83">
        <v>45581</v>
      </c>
      <c r="S25" s="83"/>
      <c r="U25" t="s">
        <v>879</v>
      </c>
      <c r="V25" t="s">
        <v>879</v>
      </c>
      <c r="W25" t="s">
        <v>935</v>
      </c>
    </row>
    <row r="26" spans="1:23" x14ac:dyDescent="0.3">
      <c r="A26">
        <v>25</v>
      </c>
      <c r="B26" t="s">
        <v>69</v>
      </c>
      <c r="C26" t="s">
        <v>278</v>
      </c>
      <c r="D26" t="s">
        <v>890</v>
      </c>
      <c r="E26" t="s">
        <v>888</v>
      </c>
      <c r="F26" t="s">
        <v>8</v>
      </c>
      <c r="G26" t="s">
        <v>150</v>
      </c>
      <c r="H26" t="s">
        <v>153</v>
      </c>
      <c r="I26" t="s">
        <v>156</v>
      </c>
      <c r="J26">
        <v>120</v>
      </c>
      <c r="K26" t="s">
        <v>167</v>
      </c>
      <c r="L26" t="s">
        <v>900</v>
      </c>
      <c r="M26" t="s">
        <v>70</v>
      </c>
      <c r="N26">
        <v>1</v>
      </c>
      <c r="O26">
        <v>10987</v>
      </c>
      <c r="P26" t="s">
        <v>16</v>
      </c>
      <c r="Q26" s="83">
        <v>45544</v>
      </c>
      <c r="R26" s="83">
        <v>45552</v>
      </c>
      <c r="S26" s="83">
        <v>45556</v>
      </c>
      <c r="T26">
        <v>12</v>
      </c>
      <c r="U26" t="s">
        <v>880</v>
      </c>
      <c r="V26" t="s">
        <v>198</v>
      </c>
      <c r="W26" t="s">
        <v>936</v>
      </c>
    </row>
    <row r="27" spans="1:23" x14ac:dyDescent="0.3">
      <c r="A27">
        <v>26</v>
      </c>
      <c r="B27" t="s">
        <v>52</v>
      </c>
      <c r="C27" t="s">
        <v>900</v>
      </c>
      <c r="D27" t="s">
        <v>900</v>
      </c>
      <c r="E27" t="s">
        <v>901</v>
      </c>
      <c r="F27" t="s">
        <v>52</v>
      </c>
      <c r="G27" t="s">
        <v>150</v>
      </c>
      <c r="H27" t="s">
        <v>165</v>
      </c>
      <c r="I27" t="s">
        <v>154</v>
      </c>
      <c r="J27">
        <v>100</v>
      </c>
      <c r="K27" t="s">
        <v>167</v>
      </c>
      <c r="L27" t="s">
        <v>900</v>
      </c>
      <c r="M27" t="s">
        <v>444</v>
      </c>
      <c r="N27">
        <v>1</v>
      </c>
      <c r="O27">
        <v>9208</v>
      </c>
      <c r="P27" t="s">
        <v>886</v>
      </c>
      <c r="Q27" s="83">
        <v>45536</v>
      </c>
      <c r="R27" s="83">
        <v>45554</v>
      </c>
      <c r="S27" s="83">
        <v>45556</v>
      </c>
      <c r="T27">
        <v>20</v>
      </c>
      <c r="U27" t="s">
        <v>880</v>
      </c>
      <c r="V27" t="s">
        <v>198</v>
      </c>
      <c r="W27" t="s">
        <v>936</v>
      </c>
    </row>
    <row r="28" spans="1:23" x14ac:dyDescent="0.3">
      <c r="A28">
        <v>27</v>
      </c>
      <c r="B28" t="s">
        <v>52</v>
      </c>
      <c r="C28" t="s">
        <v>900</v>
      </c>
      <c r="D28" t="s">
        <v>900</v>
      </c>
      <c r="E28" t="s">
        <v>901</v>
      </c>
      <c r="F28" t="s">
        <v>52</v>
      </c>
      <c r="G28" t="s">
        <v>150</v>
      </c>
      <c r="H28" t="s">
        <v>165</v>
      </c>
      <c r="I28" t="s">
        <v>154</v>
      </c>
      <c r="J28">
        <v>100</v>
      </c>
      <c r="K28" t="s">
        <v>168</v>
      </c>
      <c r="L28" t="s">
        <v>900</v>
      </c>
      <c r="M28" t="s">
        <v>449</v>
      </c>
      <c r="N28">
        <v>1</v>
      </c>
      <c r="O28">
        <v>9208</v>
      </c>
      <c r="P28" t="s">
        <v>886</v>
      </c>
      <c r="Q28" s="83">
        <v>45536</v>
      </c>
      <c r="R28" s="83">
        <v>45554</v>
      </c>
      <c r="S28" s="83">
        <v>45556</v>
      </c>
      <c r="T28">
        <v>20</v>
      </c>
      <c r="U28" t="s">
        <v>880</v>
      </c>
      <c r="V28" t="s">
        <v>198</v>
      </c>
      <c r="W28" t="s">
        <v>936</v>
      </c>
    </row>
    <row r="29" spans="1:23" x14ac:dyDescent="0.3">
      <c r="A29">
        <v>28</v>
      </c>
      <c r="B29" t="s">
        <v>83</v>
      </c>
      <c r="C29" t="s">
        <v>452</v>
      </c>
      <c r="D29" t="s">
        <v>895</v>
      </c>
      <c r="E29" t="s">
        <v>901</v>
      </c>
      <c r="F29" t="s">
        <v>406</v>
      </c>
      <c r="G29" t="s">
        <v>150</v>
      </c>
      <c r="H29" t="s">
        <v>153</v>
      </c>
      <c r="I29" t="s">
        <v>177</v>
      </c>
      <c r="J29">
        <v>120</v>
      </c>
      <c r="K29" t="s">
        <v>167</v>
      </c>
      <c r="L29" t="s">
        <v>900</v>
      </c>
      <c r="M29" t="s">
        <v>87</v>
      </c>
      <c r="N29">
        <v>2</v>
      </c>
      <c r="O29">
        <v>4020</v>
      </c>
      <c r="P29" t="s">
        <v>85</v>
      </c>
      <c r="Q29" s="83">
        <v>45547</v>
      </c>
      <c r="R29" s="83">
        <v>45556</v>
      </c>
      <c r="S29" s="83">
        <v>45557</v>
      </c>
      <c r="T29">
        <v>10</v>
      </c>
      <c r="U29" t="s">
        <v>880</v>
      </c>
      <c r="V29" t="s">
        <v>198</v>
      </c>
      <c r="W29" t="s">
        <v>936</v>
      </c>
    </row>
    <row r="30" spans="1:23" x14ac:dyDescent="0.3">
      <c r="A30">
        <v>29</v>
      </c>
      <c r="B30" t="s">
        <v>83</v>
      </c>
      <c r="C30" t="s">
        <v>452</v>
      </c>
      <c r="D30" t="s">
        <v>895</v>
      </c>
      <c r="E30" t="s">
        <v>901</v>
      </c>
      <c r="F30" t="s">
        <v>406</v>
      </c>
      <c r="G30" t="s">
        <v>150</v>
      </c>
      <c r="H30" t="s">
        <v>153</v>
      </c>
      <c r="I30" t="s">
        <v>177</v>
      </c>
      <c r="J30">
        <v>120</v>
      </c>
      <c r="K30" t="s">
        <v>167</v>
      </c>
      <c r="L30" t="s">
        <v>900</v>
      </c>
      <c r="M30" t="s">
        <v>87</v>
      </c>
      <c r="N30">
        <v>2</v>
      </c>
      <c r="O30">
        <v>4020</v>
      </c>
      <c r="P30" t="s">
        <v>85</v>
      </c>
      <c r="Q30" s="83">
        <v>45547</v>
      </c>
      <c r="R30" s="83">
        <v>45556</v>
      </c>
      <c r="S30" s="83">
        <v>45557</v>
      </c>
      <c r="T30">
        <v>10</v>
      </c>
      <c r="U30" t="s">
        <v>880</v>
      </c>
      <c r="V30" t="s">
        <v>198</v>
      </c>
      <c r="W30" t="s">
        <v>936</v>
      </c>
    </row>
    <row r="31" spans="1:23" x14ac:dyDescent="0.3">
      <c r="A31">
        <v>30</v>
      </c>
      <c r="B31" t="s">
        <v>83</v>
      </c>
      <c r="C31" t="s">
        <v>452</v>
      </c>
      <c r="D31" t="s">
        <v>895</v>
      </c>
      <c r="E31" t="s">
        <v>901</v>
      </c>
      <c r="F31" t="s">
        <v>406</v>
      </c>
      <c r="G31" t="s">
        <v>150</v>
      </c>
      <c r="H31" t="s">
        <v>153</v>
      </c>
      <c r="I31" t="s">
        <v>169</v>
      </c>
      <c r="J31">
        <v>120</v>
      </c>
      <c r="K31" t="s">
        <v>168</v>
      </c>
      <c r="L31" t="s">
        <v>900</v>
      </c>
      <c r="M31" t="s">
        <v>457</v>
      </c>
      <c r="N31">
        <v>2</v>
      </c>
      <c r="O31">
        <v>4020</v>
      </c>
      <c r="P31" t="s">
        <v>16</v>
      </c>
      <c r="Q31" s="83">
        <v>45547</v>
      </c>
      <c r="R31" s="83">
        <v>45556</v>
      </c>
      <c r="S31" s="83">
        <v>45557</v>
      </c>
      <c r="T31">
        <v>10</v>
      </c>
      <c r="U31" t="s">
        <v>880</v>
      </c>
      <c r="V31" t="s">
        <v>198</v>
      </c>
      <c r="W31" t="s">
        <v>936</v>
      </c>
    </row>
    <row r="32" spans="1:23" x14ac:dyDescent="0.3">
      <c r="A32">
        <v>31</v>
      </c>
      <c r="B32" t="s">
        <v>83</v>
      </c>
      <c r="C32" t="s">
        <v>452</v>
      </c>
      <c r="D32" t="s">
        <v>895</v>
      </c>
      <c r="E32" t="s">
        <v>901</v>
      </c>
      <c r="F32" t="s">
        <v>406</v>
      </c>
      <c r="G32" t="s">
        <v>150</v>
      </c>
      <c r="H32" t="s">
        <v>153</v>
      </c>
      <c r="I32" t="s">
        <v>169</v>
      </c>
      <c r="J32">
        <v>120</v>
      </c>
      <c r="K32" t="s">
        <v>168</v>
      </c>
      <c r="L32" t="s">
        <v>900</v>
      </c>
      <c r="M32" t="s">
        <v>457</v>
      </c>
      <c r="N32">
        <v>2</v>
      </c>
      <c r="O32">
        <v>4020</v>
      </c>
      <c r="P32" t="s">
        <v>16</v>
      </c>
      <c r="Q32" s="83">
        <v>45547</v>
      </c>
      <c r="R32" s="83">
        <v>45556</v>
      </c>
      <c r="S32" s="83">
        <v>45557</v>
      </c>
      <c r="T32">
        <v>10</v>
      </c>
      <c r="U32" t="s">
        <v>880</v>
      </c>
      <c r="V32" t="s">
        <v>198</v>
      </c>
      <c r="W32" t="s">
        <v>936</v>
      </c>
    </row>
    <row r="33" spans="1:23" x14ac:dyDescent="0.3">
      <c r="A33">
        <v>33</v>
      </c>
      <c r="B33" t="s">
        <v>147</v>
      </c>
      <c r="C33" t="s">
        <v>462</v>
      </c>
      <c r="D33" t="s">
        <v>891</v>
      </c>
      <c r="E33" t="s">
        <v>888</v>
      </c>
      <c r="F33" t="s">
        <v>8</v>
      </c>
      <c r="G33" t="s">
        <v>292</v>
      </c>
      <c r="H33" t="s">
        <v>189</v>
      </c>
      <c r="J33">
        <v>0</v>
      </c>
      <c r="K33" t="s">
        <v>900</v>
      </c>
      <c r="L33" t="s">
        <v>900</v>
      </c>
      <c r="M33" t="s">
        <v>463</v>
      </c>
      <c r="N33">
        <v>1</v>
      </c>
      <c r="O33">
        <v>8349</v>
      </c>
      <c r="P33" t="s">
        <v>16</v>
      </c>
      <c r="Q33" s="83">
        <v>45549</v>
      </c>
      <c r="R33" s="83">
        <v>45557</v>
      </c>
      <c r="S33" s="83">
        <v>45559</v>
      </c>
      <c r="T33">
        <v>10</v>
      </c>
      <c r="U33" t="s">
        <v>878</v>
      </c>
      <c r="V33" t="s">
        <v>198</v>
      </c>
      <c r="W33" t="s">
        <v>936</v>
      </c>
    </row>
    <row r="34" spans="1:23" x14ac:dyDescent="0.3">
      <c r="A34">
        <v>36</v>
      </c>
      <c r="B34" t="s">
        <v>79</v>
      </c>
      <c r="C34" t="s">
        <v>473</v>
      </c>
      <c r="D34" t="s">
        <v>890</v>
      </c>
      <c r="E34" t="s">
        <v>888</v>
      </c>
      <c r="F34" t="s">
        <v>35</v>
      </c>
      <c r="G34" t="s">
        <v>150</v>
      </c>
      <c r="H34" t="s">
        <v>171</v>
      </c>
      <c r="I34" t="s">
        <v>155</v>
      </c>
      <c r="J34">
        <v>100</v>
      </c>
      <c r="K34" t="s">
        <v>168</v>
      </c>
      <c r="L34" t="s">
        <v>900</v>
      </c>
      <c r="M34" t="s">
        <v>474</v>
      </c>
      <c r="N34">
        <v>1</v>
      </c>
      <c r="O34">
        <v>9450</v>
      </c>
      <c r="P34" t="s">
        <v>886</v>
      </c>
      <c r="Q34" s="83">
        <v>45547</v>
      </c>
      <c r="R34" s="83">
        <v>45561</v>
      </c>
      <c r="S34" s="83"/>
      <c r="U34" t="s">
        <v>879</v>
      </c>
      <c r="V34" t="s">
        <v>879</v>
      </c>
      <c r="W34" t="s">
        <v>935</v>
      </c>
    </row>
    <row r="35" spans="1:23" x14ac:dyDescent="0.3">
      <c r="A35">
        <v>37</v>
      </c>
      <c r="B35" t="s">
        <v>479</v>
      </c>
      <c r="C35" t="s">
        <v>67</v>
      </c>
      <c r="D35" t="s">
        <v>894</v>
      </c>
      <c r="E35" t="s">
        <v>888</v>
      </c>
      <c r="F35" t="s">
        <v>8</v>
      </c>
      <c r="G35" t="s">
        <v>150</v>
      </c>
      <c r="H35" t="s">
        <v>153</v>
      </c>
      <c r="I35" t="s">
        <v>156</v>
      </c>
      <c r="J35">
        <v>120</v>
      </c>
      <c r="K35" t="s">
        <v>168</v>
      </c>
      <c r="L35" t="s">
        <v>900</v>
      </c>
      <c r="M35" t="s">
        <v>96</v>
      </c>
      <c r="N35">
        <v>1</v>
      </c>
      <c r="O35">
        <v>7460</v>
      </c>
      <c r="P35" t="s">
        <v>16</v>
      </c>
      <c r="Q35" s="83">
        <v>45548</v>
      </c>
      <c r="R35" s="83">
        <v>45561</v>
      </c>
      <c r="S35" s="83">
        <v>45568</v>
      </c>
      <c r="T35">
        <v>20</v>
      </c>
      <c r="U35" t="s">
        <v>880</v>
      </c>
      <c r="V35" t="s">
        <v>198</v>
      </c>
      <c r="W35" t="s">
        <v>936</v>
      </c>
    </row>
    <row r="36" spans="1:23" x14ac:dyDescent="0.3">
      <c r="A36">
        <v>39</v>
      </c>
      <c r="B36" t="s">
        <v>485</v>
      </c>
      <c r="C36" t="s">
        <v>278</v>
      </c>
      <c r="D36" t="s">
        <v>890</v>
      </c>
      <c r="E36" t="s">
        <v>888</v>
      </c>
      <c r="F36" t="s">
        <v>8</v>
      </c>
      <c r="G36" t="s">
        <v>150</v>
      </c>
      <c r="H36" t="s">
        <v>165</v>
      </c>
      <c r="I36" t="s">
        <v>155</v>
      </c>
      <c r="J36">
        <v>120</v>
      </c>
      <c r="K36" t="s">
        <v>172</v>
      </c>
      <c r="L36" t="s">
        <v>900</v>
      </c>
      <c r="M36" t="s">
        <v>486</v>
      </c>
      <c r="N36">
        <v>1</v>
      </c>
      <c r="O36">
        <v>12999</v>
      </c>
      <c r="P36" t="s">
        <v>16</v>
      </c>
      <c r="Q36" s="83">
        <v>45549</v>
      </c>
      <c r="R36" s="83">
        <v>45562</v>
      </c>
      <c r="S36" s="83">
        <v>45567</v>
      </c>
      <c r="T36">
        <v>18</v>
      </c>
      <c r="U36" t="s">
        <v>880</v>
      </c>
      <c r="V36" t="s">
        <v>198</v>
      </c>
      <c r="W36" t="s">
        <v>936</v>
      </c>
    </row>
    <row r="37" spans="1:23" x14ac:dyDescent="0.3">
      <c r="A37">
        <v>40</v>
      </c>
      <c r="B37" t="s">
        <v>493</v>
      </c>
      <c r="C37" t="s">
        <v>494</v>
      </c>
      <c r="D37" t="s">
        <v>894</v>
      </c>
      <c r="E37" t="s">
        <v>888</v>
      </c>
      <c r="F37" t="s">
        <v>8</v>
      </c>
      <c r="G37" t="s">
        <v>150</v>
      </c>
      <c r="H37" t="s">
        <v>165</v>
      </c>
      <c r="I37" t="s">
        <v>152</v>
      </c>
      <c r="J37">
        <v>90</v>
      </c>
      <c r="K37" t="s">
        <v>168</v>
      </c>
      <c r="L37" t="s">
        <v>900</v>
      </c>
      <c r="M37" t="s">
        <v>495</v>
      </c>
      <c r="N37">
        <v>1</v>
      </c>
      <c r="O37">
        <v>5999</v>
      </c>
      <c r="P37" t="s">
        <v>16</v>
      </c>
      <c r="Q37" s="83">
        <v>45547</v>
      </c>
      <c r="R37" s="83">
        <v>45564</v>
      </c>
      <c r="S37" s="83"/>
      <c r="U37" t="s">
        <v>879</v>
      </c>
      <c r="V37" t="s">
        <v>879</v>
      </c>
      <c r="W37" t="s">
        <v>935</v>
      </c>
    </row>
    <row r="38" spans="1:23" x14ac:dyDescent="0.3">
      <c r="A38">
        <v>41</v>
      </c>
      <c r="B38" t="s">
        <v>501</v>
      </c>
      <c r="C38" t="s">
        <v>502</v>
      </c>
      <c r="D38" t="s">
        <v>890</v>
      </c>
      <c r="E38" t="s">
        <v>888</v>
      </c>
      <c r="F38" t="s">
        <v>8</v>
      </c>
      <c r="G38" t="s">
        <v>150</v>
      </c>
      <c r="H38" t="s">
        <v>165</v>
      </c>
      <c r="I38" t="s">
        <v>155</v>
      </c>
      <c r="J38">
        <v>100</v>
      </c>
      <c r="K38" t="s">
        <v>168</v>
      </c>
      <c r="L38" t="s">
        <v>900</v>
      </c>
      <c r="M38" t="s">
        <v>503</v>
      </c>
      <c r="N38">
        <v>1</v>
      </c>
      <c r="O38">
        <v>11949</v>
      </c>
      <c r="P38" t="s">
        <v>886</v>
      </c>
      <c r="Q38" s="83">
        <v>45547</v>
      </c>
      <c r="R38" s="83">
        <v>45564</v>
      </c>
      <c r="S38" s="83">
        <v>45567</v>
      </c>
      <c r="T38">
        <v>20</v>
      </c>
      <c r="U38" t="s">
        <v>880</v>
      </c>
      <c r="V38" t="s">
        <v>198</v>
      </c>
      <c r="W38" t="s">
        <v>936</v>
      </c>
    </row>
    <row r="39" spans="1:23" x14ac:dyDescent="0.3">
      <c r="A39">
        <v>42</v>
      </c>
      <c r="B39" t="s">
        <v>501</v>
      </c>
      <c r="C39" t="s">
        <v>502</v>
      </c>
      <c r="D39" t="s">
        <v>890</v>
      </c>
      <c r="E39" t="s">
        <v>888</v>
      </c>
      <c r="F39" t="s">
        <v>8</v>
      </c>
      <c r="G39" t="s">
        <v>150</v>
      </c>
      <c r="H39" t="s">
        <v>165</v>
      </c>
      <c r="I39" t="s">
        <v>155</v>
      </c>
      <c r="J39">
        <v>100</v>
      </c>
      <c r="K39" t="s">
        <v>168</v>
      </c>
      <c r="L39" t="s">
        <v>900</v>
      </c>
      <c r="M39" t="s">
        <v>503</v>
      </c>
      <c r="N39">
        <v>1</v>
      </c>
      <c r="O39">
        <v>11949</v>
      </c>
      <c r="P39" t="s">
        <v>886</v>
      </c>
      <c r="Q39" s="83">
        <v>45547</v>
      </c>
      <c r="R39" s="83">
        <v>45564</v>
      </c>
      <c r="S39" s="83">
        <v>45567</v>
      </c>
      <c r="T39">
        <v>20</v>
      </c>
      <c r="U39" t="s">
        <v>880</v>
      </c>
      <c r="V39" t="s">
        <v>198</v>
      </c>
      <c r="W39" t="s">
        <v>936</v>
      </c>
    </row>
    <row r="40" spans="1:23" x14ac:dyDescent="0.3">
      <c r="A40">
        <v>43</v>
      </c>
      <c r="B40" t="s">
        <v>359</v>
      </c>
      <c r="C40" t="s">
        <v>88</v>
      </c>
      <c r="D40" t="s">
        <v>894</v>
      </c>
      <c r="E40" t="s">
        <v>888</v>
      </c>
      <c r="F40" t="s">
        <v>8</v>
      </c>
      <c r="G40" t="s">
        <v>150</v>
      </c>
      <c r="H40" t="s">
        <v>171</v>
      </c>
      <c r="I40" t="s">
        <v>155</v>
      </c>
      <c r="J40">
        <v>80</v>
      </c>
      <c r="K40" t="s">
        <v>167</v>
      </c>
      <c r="L40" t="s">
        <v>900</v>
      </c>
      <c r="M40" t="s">
        <v>511</v>
      </c>
      <c r="N40">
        <v>1</v>
      </c>
      <c r="O40">
        <v>16599</v>
      </c>
      <c r="P40" t="s">
        <v>16</v>
      </c>
      <c r="Q40" s="83">
        <v>45548</v>
      </c>
      <c r="R40" s="83">
        <v>45565</v>
      </c>
      <c r="S40" s="83">
        <v>45568</v>
      </c>
      <c r="T40">
        <v>20</v>
      </c>
      <c r="U40" t="s">
        <v>880</v>
      </c>
      <c r="V40" t="s">
        <v>198</v>
      </c>
      <c r="W40" t="s">
        <v>936</v>
      </c>
    </row>
    <row r="41" spans="1:23" x14ac:dyDescent="0.3">
      <c r="A41">
        <v>44</v>
      </c>
      <c r="B41" t="s">
        <v>517</v>
      </c>
      <c r="C41" t="s">
        <v>117</v>
      </c>
      <c r="D41" t="s">
        <v>893</v>
      </c>
      <c r="E41" t="s">
        <v>888</v>
      </c>
      <c r="F41" t="s">
        <v>8</v>
      </c>
      <c r="G41" t="s">
        <v>150</v>
      </c>
      <c r="H41" t="s">
        <v>165</v>
      </c>
      <c r="I41" t="s">
        <v>155</v>
      </c>
      <c r="J41">
        <v>80</v>
      </c>
      <c r="K41" t="s">
        <v>167</v>
      </c>
      <c r="L41" t="s">
        <v>900</v>
      </c>
      <c r="M41" t="s">
        <v>518</v>
      </c>
      <c r="N41">
        <v>1</v>
      </c>
      <c r="O41">
        <v>10999</v>
      </c>
      <c r="P41" t="s">
        <v>16</v>
      </c>
      <c r="Q41" s="83">
        <v>45548</v>
      </c>
      <c r="R41" s="83">
        <v>45565</v>
      </c>
      <c r="S41" s="83">
        <v>45581</v>
      </c>
      <c r="T41">
        <v>33</v>
      </c>
      <c r="U41" t="s">
        <v>878</v>
      </c>
      <c r="V41" t="s">
        <v>198</v>
      </c>
      <c r="W41" t="s">
        <v>936</v>
      </c>
    </row>
    <row r="42" spans="1:23" x14ac:dyDescent="0.3">
      <c r="A42">
        <v>45</v>
      </c>
      <c r="B42" t="s">
        <v>523</v>
      </c>
      <c r="C42" t="s">
        <v>524</v>
      </c>
      <c r="D42" t="s">
        <v>212</v>
      </c>
      <c r="E42" t="s">
        <v>888</v>
      </c>
      <c r="F42" t="s">
        <v>8</v>
      </c>
      <c r="G42" t="s">
        <v>150</v>
      </c>
      <c r="H42" t="s">
        <v>165</v>
      </c>
      <c r="I42" t="s">
        <v>155</v>
      </c>
      <c r="J42">
        <v>140</v>
      </c>
      <c r="K42" t="s">
        <v>170</v>
      </c>
      <c r="L42" t="s">
        <v>900</v>
      </c>
      <c r="M42" t="s">
        <v>94</v>
      </c>
      <c r="N42">
        <v>1</v>
      </c>
      <c r="O42">
        <v>13099</v>
      </c>
      <c r="P42" t="s">
        <v>16</v>
      </c>
      <c r="Q42" s="83">
        <v>45548</v>
      </c>
      <c r="R42" s="83">
        <v>45565</v>
      </c>
      <c r="S42" s="83">
        <v>45568</v>
      </c>
      <c r="T42">
        <v>20</v>
      </c>
      <c r="U42" t="s">
        <v>878</v>
      </c>
      <c r="V42" t="s">
        <v>198</v>
      </c>
      <c r="W42" t="s">
        <v>936</v>
      </c>
    </row>
    <row r="43" spans="1:23" x14ac:dyDescent="0.3">
      <c r="A43">
        <v>46</v>
      </c>
      <c r="B43" t="s">
        <v>530</v>
      </c>
      <c r="C43" t="s">
        <v>278</v>
      </c>
      <c r="D43" t="s">
        <v>890</v>
      </c>
      <c r="E43" t="s">
        <v>888</v>
      </c>
      <c r="F43" t="s">
        <v>8</v>
      </c>
      <c r="G43" t="s">
        <v>150</v>
      </c>
      <c r="H43" t="s">
        <v>165</v>
      </c>
      <c r="I43" t="s">
        <v>154</v>
      </c>
      <c r="J43">
        <v>120</v>
      </c>
      <c r="K43" t="s">
        <v>173</v>
      </c>
      <c r="L43" t="s">
        <v>900</v>
      </c>
      <c r="M43" t="s">
        <v>531</v>
      </c>
      <c r="N43">
        <v>1</v>
      </c>
      <c r="O43">
        <v>13849</v>
      </c>
      <c r="P43" t="s">
        <v>16</v>
      </c>
      <c r="Q43" s="83">
        <v>45548</v>
      </c>
      <c r="R43" s="83">
        <v>45565</v>
      </c>
      <c r="S43" s="83">
        <v>45585</v>
      </c>
      <c r="T43">
        <v>37</v>
      </c>
      <c r="U43" t="s">
        <v>880</v>
      </c>
      <c r="V43" t="s">
        <v>198</v>
      </c>
      <c r="W43" t="s">
        <v>936</v>
      </c>
    </row>
    <row r="44" spans="1:23" x14ac:dyDescent="0.3">
      <c r="A44">
        <v>48</v>
      </c>
      <c r="B44" t="s">
        <v>537</v>
      </c>
      <c r="C44" t="s">
        <v>278</v>
      </c>
      <c r="D44" t="s">
        <v>890</v>
      </c>
      <c r="E44" t="s">
        <v>888</v>
      </c>
      <c r="F44" t="s">
        <v>8</v>
      </c>
      <c r="G44" t="s">
        <v>150</v>
      </c>
      <c r="H44" t="s">
        <v>165</v>
      </c>
      <c r="I44" t="s">
        <v>155</v>
      </c>
      <c r="J44">
        <v>80</v>
      </c>
      <c r="K44" t="s">
        <v>167</v>
      </c>
      <c r="L44" t="s">
        <v>900</v>
      </c>
      <c r="M44" t="s">
        <v>518</v>
      </c>
      <c r="N44">
        <v>1</v>
      </c>
      <c r="O44">
        <v>10999</v>
      </c>
      <c r="P44" t="s">
        <v>16</v>
      </c>
      <c r="Q44" s="83">
        <v>45548</v>
      </c>
      <c r="R44" s="83">
        <v>45565</v>
      </c>
      <c r="S44" s="83">
        <v>45580</v>
      </c>
      <c r="T44">
        <v>32</v>
      </c>
      <c r="U44" t="s">
        <v>880</v>
      </c>
      <c r="V44" t="s">
        <v>198</v>
      </c>
      <c r="W44" t="s">
        <v>936</v>
      </c>
    </row>
    <row r="45" spans="1:23" x14ac:dyDescent="0.3">
      <c r="A45">
        <v>49</v>
      </c>
      <c r="B45" t="s">
        <v>542</v>
      </c>
      <c r="C45" t="s">
        <v>107</v>
      </c>
      <c r="D45" t="s">
        <v>894</v>
      </c>
      <c r="E45" t="s">
        <v>888</v>
      </c>
      <c r="F45" t="s">
        <v>8</v>
      </c>
      <c r="G45" t="s">
        <v>150</v>
      </c>
      <c r="H45" t="s">
        <v>171</v>
      </c>
      <c r="I45" t="s">
        <v>155</v>
      </c>
      <c r="J45">
        <v>90</v>
      </c>
      <c r="K45" t="s">
        <v>168</v>
      </c>
      <c r="L45" t="s">
        <v>900</v>
      </c>
      <c r="M45" t="s">
        <v>543</v>
      </c>
      <c r="N45">
        <v>1</v>
      </c>
      <c r="O45">
        <v>17249</v>
      </c>
      <c r="P45" t="s">
        <v>16</v>
      </c>
      <c r="Q45" s="83">
        <v>45548</v>
      </c>
      <c r="R45" s="83">
        <v>45565</v>
      </c>
      <c r="S45" s="83">
        <v>45569</v>
      </c>
      <c r="T45">
        <v>21</v>
      </c>
      <c r="U45" t="s">
        <v>880</v>
      </c>
      <c r="V45" t="s">
        <v>198</v>
      </c>
      <c r="W45" t="s">
        <v>936</v>
      </c>
    </row>
    <row r="46" spans="1:23" x14ac:dyDescent="0.3">
      <c r="A46">
        <v>50</v>
      </c>
      <c r="B46" t="s">
        <v>549</v>
      </c>
      <c r="C46" t="s">
        <v>139</v>
      </c>
      <c r="D46" t="s">
        <v>890</v>
      </c>
      <c r="E46" t="s">
        <v>888</v>
      </c>
      <c r="F46" t="s">
        <v>8</v>
      </c>
      <c r="G46" t="s">
        <v>292</v>
      </c>
      <c r="H46" t="s">
        <v>187</v>
      </c>
      <c r="J46">
        <v>0</v>
      </c>
      <c r="K46" t="s">
        <v>900</v>
      </c>
      <c r="L46" t="s">
        <v>900</v>
      </c>
      <c r="M46" t="s">
        <v>140</v>
      </c>
      <c r="N46">
        <v>1</v>
      </c>
      <c r="O46">
        <v>8349</v>
      </c>
      <c r="P46" t="s">
        <v>16</v>
      </c>
      <c r="Q46" s="83">
        <v>45549</v>
      </c>
      <c r="R46" s="83">
        <v>45581</v>
      </c>
      <c r="S46" s="83">
        <v>45586</v>
      </c>
      <c r="T46">
        <v>37</v>
      </c>
      <c r="U46" t="s">
        <v>880</v>
      </c>
      <c r="V46" t="s">
        <v>198</v>
      </c>
      <c r="W46" t="s">
        <v>936</v>
      </c>
    </row>
    <row r="47" spans="1:23" x14ac:dyDescent="0.3">
      <c r="A47">
        <v>51</v>
      </c>
      <c r="B47" t="s">
        <v>554</v>
      </c>
      <c r="C47" t="s">
        <v>400</v>
      </c>
      <c r="D47" t="s">
        <v>894</v>
      </c>
      <c r="E47" t="s">
        <v>888</v>
      </c>
      <c r="F47" t="s">
        <v>8</v>
      </c>
      <c r="G47" t="s">
        <v>292</v>
      </c>
      <c r="H47" t="s">
        <v>188</v>
      </c>
      <c r="J47">
        <v>0</v>
      </c>
      <c r="K47" t="s">
        <v>900</v>
      </c>
      <c r="L47" t="s">
        <v>900</v>
      </c>
      <c r="M47" t="s">
        <v>342</v>
      </c>
      <c r="N47">
        <v>1</v>
      </c>
      <c r="O47">
        <v>7849</v>
      </c>
      <c r="P47" t="s">
        <v>16</v>
      </c>
      <c r="Q47" s="83">
        <v>45549</v>
      </c>
      <c r="R47" s="83">
        <v>45594</v>
      </c>
      <c r="S47" s="83">
        <v>45595</v>
      </c>
      <c r="T47">
        <v>46</v>
      </c>
      <c r="U47" t="s">
        <v>880</v>
      </c>
      <c r="V47" t="s">
        <v>198</v>
      </c>
      <c r="W47" t="s">
        <v>936</v>
      </c>
    </row>
    <row r="48" spans="1:23" x14ac:dyDescent="0.3">
      <c r="A48">
        <v>53</v>
      </c>
      <c r="B48" t="s">
        <v>560</v>
      </c>
      <c r="C48" t="s">
        <v>561</v>
      </c>
      <c r="D48" t="s">
        <v>890</v>
      </c>
      <c r="E48" t="s">
        <v>888</v>
      </c>
      <c r="F48" t="s">
        <v>8</v>
      </c>
      <c r="G48" t="s">
        <v>150</v>
      </c>
      <c r="H48" t="s">
        <v>153</v>
      </c>
      <c r="I48" t="s">
        <v>156</v>
      </c>
      <c r="J48">
        <v>140</v>
      </c>
      <c r="K48" t="s">
        <v>168</v>
      </c>
      <c r="L48" t="s">
        <v>900</v>
      </c>
      <c r="M48" t="s">
        <v>562</v>
      </c>
      <c r="N48">
        <v>1</v>
      </c>
      <c r="O48">
        <v>11817</v>
      </c>
      <c r="P48" t="s">
        <v>16</v>
      </c>
      <c r="Q48" s="83">
        <v>45549</v>
      </c>
      <c r="R48" s="83">
        <v>45594</v>
      </c>
      <c r="S48" s="83">
        <v>45580</v>
      </c>
      <c r="T48">
        <v>31</v>
      </c>
      <c r="U48" t="s">
        <v>880</v>
      </c>
      <c r="V48" t="s">
        <v>198</v>
      </c>
      <c r="W48" t="s">
        <v>934</v>
      </c>
    </row>
    <row r="49" spans="1:23" x14ac:dyDescent="0.3">
      <c r="A49">
        <v>53</v>
      </c>
      <c r="B49" t="s">
        <v>560</v>
      </c>
      <c r="C49" t="s">
        <v>561</v>
      </c>
      <c r="D49" t="s">
        <v>890</v>
      </c>
      <c r="E49" t="s">
        <v>888</v>
      </c>
      <c r="F49" t="s">
        <v>8</v>
      </c>
      <c r="G49" t="s">
        <v>150</v>
      </c>
      <c r="H49" t="s">
        <v>153</v>
      </c>
      <c r="I49" t="s">
        <v>156</v>
      </c>
      <c r="J49">
        <v>140</v>
      </c>
      <c r="K49" t="s">
        <v>168</v>
      </c>
      <c r="L49" t="s">
        <v>900</v>
      </c>
      <c r="M49" t="s">
        <v>562</v>
      </c>
      <c r="N49">
        <v>1</v>
      </c>
      <c r="O49">
        <v>11817</v>
      </c>
      <c r="P49" t="s">
        <v>16</v>
      </c>
      <c r="Q49" s="83">
        <v>45549</v>
      </c>
      <c r="R49" s="83">
        <v>45594</v>
      </c>
      <c r="S49" s="83">
        <v>45580</v>
      </c>
      <c r="T49">
        <v>31</v>
      </c>
      <c r="U49" t="s">
        <v>880</v>
      </c>
      <c r="V49" t="s">
        <v>198</v>
      </c>
      <c r="W49" t="s">
        <v>934</v>
      </c>
    </row>
    <row r="50" spans="1:23" x14ac:dyDescent="0.3">
      <c r="A50">
        <v>54</v>
      </c>
      <c r="B50" t="s">
        <v>567</v>
      </c>
      <c r="C50" t="s">
        <v>88</v>
      </c>
      <c r="D50" t="s">
        <v>894</v>
      </c>
      <c r="E50" t="s">
        <v>888</v>
      </c>
      <c r="F50" t="s">
        <v>8</v>
      </c>
      <c r="G50" t="s">
        <v>292</v>
      </c>
      <c r="H50" t="s">
        <v>189</v>
      </c>
      <c r="J50">
        <v>0</v>
      </c>
      <c r="K50" t="s">
        <v>900</v>
      </c>
      <c r="L50" t="s">
        <v>900</v>
      </c>
      <c r="M50" t="s">
        <v>568</v>
      </c>
      <c r="N50">
        <v>1</v>
      </c>
      <c r="O50">
        <v>8349</v>
      </c>
      <c r="P50" t="s">
        <v>16</v>
      </c>
      <c r="Q50" s="83">
        <v>45549</v>
      </c>
      <c r="R50" s="83">
        <v>45594</v>
      </c>
      <c r="S50" s="83">
        <v>45584</v>
      </c>
      <c r="T50">
        <v>35</v>
      </c>
      <c r="U50" t="s">
        <v>880</v>
      </c>
      <c r="V50" t="s">
        <v>198</v>
      </c>
      <c r="W50" t="s">
        <v>934</v>
      </c>
    </row>
    <row r="51" spans="1:23" x14ac:dyDescent="0.3">
      <c r="A51">
        <v>55</v>
      </c>
      <c r="B51" t="s">
        <v>573</v>
      </c>
      <c r="C51" t="s">
        <v>129</v>
      </c>
      <c r="D51" t="s">
        <v>894</v>
      </c>
      <c r="E51" t="s">
        <v>888</v>
      </c>
      <c r="F51" t="s">
        <v>8</v>
      </c>
      <c r="G51" t="s">
        <v>150</v>
      </c>
      <c r="H51" t="s">
        <v>153</v>
      </c>
      <c r="I51" t="s">
        <v>177</v>
      </c>
      <c r="J51">
        <v>120</v>
      </c>
      <c r="K51" t="s">
        <v>167</v>
      </c>
      <c r="L51" t="s">
        <v>900</v>
      </c>
      <c r="M51" t="s">
        <v>130</v>
      </c>
      <c r="N51">
        <v>1</v>
      </c>
      <c r="O51">
        <v>17886</v>
      </c>
      <c r="P51" t="s">
        <v>16</v>
      </c>
      <c r="Q51" s="83">
        <v>45549</v>
      </c>
      <c r="R51" s="83">
        <v>45594</v>
      </c>
      <c r="S51" s="83"/>
      <c r="U51" t="s">
        <v>879</v>
      </c>
      <c r="V51" t="s">
        <v>879</v>
      </c>
      <c r="W51" t="s">
        <v>935</v>
      </c>
    </row>
    <row r="52" spans="1:23" x14ac:dyDescent="0.3">
      <c r="A52">
        <v>56</v>
      </c>
      <c r="B52" t="s">
        <v>573</v>
      </c>
      <c r="C52" t="s">
        <v>129</v>
      </c>
      <c r="D52" t="s">
        <v>894</v>
      </c>
      <c r="E52" t="s">
        <v>888</v>
      </c>
      <c r="F52" t="s">
        <v>8</v>
      </c>
      <c r="G52" t="s">
        <v>150</v>
      </c>
      <c r="H52" t="s">
        <v>153</v>
      </c>
      <c r="I52" t="s">
        <v>177</v>
      </c>
      <c r="J52">
        <v>120</v>
      </c>
      <c r="K52" t="s">
        <v>167</v>
      </c>
      <c r="L52" t="s">
        <v>900</v>
      </c>
      <c r="M52" t="s">
        <v>130</v>
      </c>
      <c r="N52">
        <v>1</v>
      </c>
      <c r="O52">
        <v>17886</v>
      </c>
      <c r="P52" t="s">
        <v>16</v>
      </c>
      <c r="Q52" s="83">
        <v>45549</v>
      </c>
      <c r="R52" s="83">
        <v>45594</v>
      </c>
      <c r="S52" s="83"/>
      <c r="U52" t="s">
        <v>879</v>
      </c>
      <c r="V52" t="s">
        <v>879</v>
      </c>
      <c r="W52" t="s">
        <v>935</v>
      </c>
    </row>
    <row r="53" spans="1:23" x14ac:dyDescent="0.3">
      <c r="A53">
        <v>57</v>
      </c>
      <c r="B53" t="s">
        <v>131</v>
      </c>
      <c r="C53" t="s">
        <v>67</v>
      </c>
      <c r="D53" t="s">
        <v>894</v>
      </c>
      <c r="E53" t="s">
        <v>888</v>
      </c>
      <c r="F53" t="s">
        <v>8</v>
      </c>
      <c r="G53" t="s">
        <v>150</v>
      </c>
      <c r="H53" t="s">
        <v>153</v>
      </c>
      <c r="I53" t="s">
        <v>156</v>
      </c>
      <c r="J53">
        <v>120</v>
      </c>
      <c r="K53" t="s">
        <v>167</v>
      </c>
      <c r="L53" t="s">
        <v>900</v>
      </c>
      <c r="M53" t="s">
        <v>132</v>
      </c>
      <c r="N53">
        <v>1</v>
      </c>
      <c r="O53">
        <v>10987</v>
      </c>
      <c r="P53" t="s">
        <v>16</v>
      </c>
      <c r="Q53" s="83">
        <v>45549</v>
      </c>
      <c r="R53" s="83">
        <v>45594</v>
      </c>
      <c r="S53" s="83">
        <v>45578</v>
      </c>
      <c r="T53">
        <v>29</v>
      </c>
      <c r="U53" t="s">
        <v>880</v>
      </c>
      <c r="V53" t="s">
        <v>198</v>
      </c>
      <c r="W53" t="s">
        <v>934</v>
      </c>
    </row>
    <row r="54" spans="1:23" x14ac:dyDescent="0.3">
      <c r="A54">
        <v>58</v>
      </c>
      <c r="B54" t="s">
        <v>131</v>
      </c>
      <c r="C54" t="s">
        <v>67</v>
      </c>
      <c r="D54" t="s">
        <v>894</v>
      </c>
      <c r="E54" t="s">
        <v>888</v>
      </c>
      <c r="F54" t="s">
        <v>8</v>
      </c>
      <c r="G54" t="s">
        <v>150</v>
      </c>
      <c r="H54" t="s">
        <v>153</v>
      </c>
      <c r="I54" t="s">
        <v>156</v>
      </c>
      <c r="J54">
        <v>120</v>
      </c>
      <c r="K54" t="s">
        <v>167</v>
      </c>
      <c r="L54" t="s">
        <v>900</v>
      </c>
      <c r="M54" t="s">
        <v>132</v>
      </c>
      <c r="N54">
        <v>1</v>
      </c>
      <c r="O54">
        <v>10987</v>
      </c>
      <c r="P54" t="s">
        <v>16</v>
      </c>
      <c r="Q54" s="83">
        <v>45549</v>
      </c>
      <c r="R54" s="83">
        <v>45594</v>
      </c>
      <c r="S54" s="83">
        <v>45578</v>
      </c>
      <c r="T54">
        <v>29</v>
      </c>
      <c r="U54" t="s">
        <v>880</v>
      </c>
      <c r="V54" t="s">
        <v>198</v>
      </c>
      <c r="W54" t="s">
        <v>934</v>
      </c>
    </row>
    <row r="55" spans="1:23" x14ac:dyDescent="0.3">
      <c r="A55">
        <v>59</v>
      </c>
      <c r="B55" t="s">
        <v>586</v>
      </c>
      <c r="C55" t="s">
        <v>135</v>
      </c>
      <c r="D55" t="s">
        <v>895</v>
      </c>
      <c r="E55" t="s">
        <v>888</v>
      </c>
      <c r="F55" t="s">
        <v>8</v>
      </c>
      <c r="G55" t="s">
        <v>292</v>
      </c>
      <c r="H55" t="s">
        <v>187</v>
      </c>
      <c r="J55">
        <v>0</v>
      </c>
      <c r="K55" t="s">
        <v>900</v>
      </c>
      <c r="L55" t="s">
        <v>900</v>
      </c>
      <c r="M55" t="s">
        <v>401</v>
      </c>
      <c r="N55">
        <v>1</v>
      </c>
      <c r="O55">
        <v>10319</v>
      </c>
      <c r="P55" t="s">
        <v>16</v>
      </c>
      <c r="Q55" s="83">
        <v>45549</v>
      </c>
      <c r="R55" s="83">
        <v>45594</v>
      </c>
      <c r="S55" s="83">
        <v>45584</v>
      </c>
      <c r="T55">
        <v>35</v>
      </c>
      <c r="U55" t="s">
        <v>880</v>
      </c>
      <c r="V55" t="s">
        <v>198</v>
      </c>
      <c r="W55" t="s">
        <v>934</v>
      </c>
    </row>
    <row r="56" spans="1:23" x14ac:dyDescent="0.3">
      <c r="A56">
        <v>60</v>
      </c>
      <c r="B56" t="s">
        <v>591</v>
      </c>
      <c r="C56" t="s">
        <v>592</v>
      </c>
      <c r="D56" t="s">
        <v>896</v>
      </c>
      <c r="E56" t="s">
        <v>888</v>
      </c>
      <c r="F56" t="s">
        <v>8</v>
      </c>
      <c r="G56" t="s">
        <v>150</v>
      </c>
      <c r="H56" t="s">
        <v>165</v>
      </c>
      <c r="I56" t="s">
        <v>155</v>
      </c>
      <c r="J56">
        <v>120</v>
      </c>
      <c r="K56" t="s">
        <v>172</v>
      </c>
      <c r="L56" t="s">
        <v>900</v>
      </c>
      <c r="M56" t="s">
        <v>593</v>
      </c>
      <c r="N56">
        <v>1</v>
      </c>
      <c r="O56">
        <v>12999</v>
      </c>
      <c r="P56" t="s">
        <v>16</v>
      </c>
      <c r="Q56" s="83">
        <v>45549</v>
      </c>
      <c r="R56" s="83">
        <v>45616</v>
      </c>
      <c r="S56" s="83">
        <v>45582</v>
      </c>
      <c r="T56">
        <v>33</v>
      </c>
      <c r="U56" t="s">
        <v>878</v>
      </c>
      <c r="V56" t="s">
        <v>198</v>
      </c>
      <c r="W56" t="s">
        <v>934</v>
      </c>
    </row>
    <row r="57" spans="1:23" x14ac:dyDescent="0.3">
      <c r="A57">
        <v>62</v>
      </c>
      <c r="B57" t="s">
        <v>599</v>
      </c>
      <c r="C57" t="s">
        <v>88</v>
      </c>
      <c r="D57" t="s">
        <v>894</v>
      </c>
      <c r="E57" t="s">
        <v>888</v>
      </c>
      <c r="F57" t="s">
        <v>8</v>
      </c>
      <c r="G57" t="s">
        <v>150</v>
      </c>
      <c r="H57" t="s">
        <v>165</v>
      </c>
      <c r="I57" t="s">
        <v>152</v>
      </c>
      <c r="J57">
        <v>100</v>
      </c>
      <c r="K57" t="s">
        <v>172</v>
      </c>
      <c r="L57" t="s">
        <v>900</v>
      </c>
      <c r="M57" t="s">
        <v>600</v>
      </c>
      <c r="N57">
        <v>1</v>
      </c>
      <c r="O57">
        <v>12399</v>
      </c>
      <c r="P57" t="s">
        <v>16</v>
      </c>
      <c r="Q57" s="83">
        <v>45549</v>
      </c>
      <c r="R57" s="83">
        <v>45616</v>
      </c>
      <c r="S57" s="83">
        <v>45566</v>
      </c>
      <c r="T57">
        <v>17</v>
      </c>
      <c r="U57" t="s">
        <v>878</v>
      </c>
      <c r="V57" t="s">
        <v>198</v>
      </c>
      <c r="W57" t="s">
        <v>934</v>
      </c>
    </row>
    <row r="58" spans="1:23" x14ac:dyDescent="0.3">
      <c r="A58">
        <v>64</v>
      </c>
      <c r="B58" t="s">
        <v>606</v>
      </c>
      <c r="C58" t="s">
        <v>400</v>
      </c>
      <c r="D58" t="s">
        <v>894</v>
      </c>
      <c r="E58" t="s">
        <v>888</v>
      </c>
      <c r="F58" t="s">
        <v>8</v>
      </c>
      <c r="G58" t="s">
        <v>150</v>
      </c>
      <c r="H58" t="s">
        <v>165</v>
      </c>
      <c r="I58" t="s">
        <v>152</v>
      </c>
      <c r="J58">
        <v>80</v>
      </c>
      <c r="K58" t="s">
        <v>167</v>
      </c>
      <c r="L58" t="s">
        <v>900</v>
      </c>
      <c r="M58" t="s">
        <v>607</v>
      </c>
      <c r="N58">
        <v>1</v>
      </c>
      <c r="O58">
        <v>10999</v>
      </c>
      <c r="P58" t="s">
        <v>16</v>
      </c>
      <c r="Q58" s="83">
        <v>45549</v>
      </c>
      <c r="R58" s="83">
        <v>45616</v>
      </c>
      <c r="S58" s="83">
        <v>45581</v>
      </c>
      <c r="T58">
        <v>32</v>
      </c>
      <c r="U58" t="s">
        <v>880</v>
      </c>
      <c r="V58" t="s">
        <v>198</v>
      </c>
      <c r="W58" t="s">
        <v>934</v>
      </c>
    </row>
    <row r="59" spans="1:23" x14ac:dyDescent="0.3">
      <c r="A59">
        <v>65</v>
      </c>
      <c r="B59" t="s">
        <v>183</v>
      </c>
      <c r="C59" t="s">
        <v>184</v>
      </c>
      <c r="D59" t="s">
        <v>894</v>
      </c>
      <c r="E59" t="s">
        <v>888</v>
      </c>
      <c r="F59" t="s">
        <v>8</v>
      </c>
      <c r="G59" t="s">
        <v>150</v>
      </c>
      <c r="H59" t="s">
        <v>165</v>
      </c>
      <c r="I59" t="s">
        <v>155</v>
      </c>
      <c r="J59">
        <v>80</v>
      </c>
      <c r="K59" t="s">
        <v>167</v>
      </c>
      <c r="L59" t="s">
        <v>900</v>
      </c>
      <c r="M59" t="s">
        <v>902</v>
      </c>
      <c r="N59">
        <v>1</v>
      </c>
      <c r="O59">
        <v>10999</v>
      </c>
      <c r="P59" t="s">
        <v>16</v>
      </c>
      <c r="Q59" s="83">
        <v>45550</v>
      </c>
      <c r="R59" s="83">
        <v>45616</v>
      </c>
      <c r="S59" s="83">
        <v>45581</v>
      </c>
      <c r="T59">
        <v>31</v>
      </c>
      <c r="U59" t="s">
        <v>880</v>
      </c>
      <c r="V59" t="s">
        <v>198</v>
      </c>
      <c r="W59" t="s">
        <v>934</v>
      </c>
    </row>
    <row r="60" spans="1:23" x14ac:dyDescent="0.3">
      <c r="A60">
        <v>66</v>
      </c>
      <c r="B60" t="s">
        <v>183</v>
      </c>
      <c r="C60" t="s">
        <v>184</v>
      </c>
      <c r="D60" t="s">
        <v>894</v>
      </c>
      <c r="E60" t="s">
        <v>888</v>
      </c>
      <c r="F60" t="s">
        <v>8</v>
      </c>
      <c r="G60" t="s">
        <v>150</v>
      </c>
      <c r="H60" t="s">
        <v>165</v>
      </c>
      <c r="I60" t="s">
        <v>155</v>
      </c>
      <c r="J60">
        <v>80</v>
      </c>
      <c r="K60" t="s">
        <v>167</v>
      </c>
      <c r="L60" t="s">
        <v>900</v>
      </c>
      <c r="M60" t="s">
        <v>902</v>
      </c>
      <c r="N60">
        <v>1</v>
      </c>
      <c r="O60">
        <v>10999</v>
      </c>
      <c r="P60" t="s">
        <v>16</v>
      </c>
      <c r="Q60" s="83">
        <v>45550</v>
      </c>
      <c r="R60" s="83">
        <v>45616</v>
      </c>
      <c r="S60" s="83">
        <v>45581</v>
      </c>
      <c r="T60">
        <v>31</v>
      </c>
      <c r="U60" t="s">
        <v>880</v>
      </c>
      <c r="V60" t="s">
        <v>198</v>
      </c>
      <c r="W60" t="s">
        <v>934</v>
      </c>
    </row>
    <row r="61" spans="1:23" x14ac:dyDescent="0.3">
      <c r="A61">
        <v>68</v>
      </c>
      <c r="B61" t="s">
        <v>196</v>
      </c>
      <c r="C61" t="s">
        <v>144</v>
      </c>
      <c r="D61" t="s">
        <v>212</v>
      </c>
      <c r="E61" t="s">
        <v>888</v>
      </c>
      <c r="F61" t="s">
        <v>8</v>
      </c>
      <c r="G61" t="s">
        <v>292</v>
      </c>
      <c r="H61" t="s">
        <v>187</v>
      </c>
      <c r="J61">
        <v>0</v>
      </c>
      <c r="K61" t="s">
        <v>900</v>
      </c>
      <c r="L61" t="s">
        <v>900</v>
      </c>
      <c r="M61" t="s">
        <v>903</v>
      </c>
      <c r="N61">
        <v>1</v>
      </c>
      <c r="O61">
        <v>7849</v>
      </c>
      <c r="P61" t="s">
        <v>886</v>
      </c>
      <c r="Q61" s="83">
        <v>45551</v>
      </c>
      <c r="R61" s="83">
        <v>45595</v>
      </c>
      <c r="S61" s="83">
        <v>45610</v>
      </c>
      <c r="T61">
        <v>59</v>
      </c>
      <c r="U61" t="s">
        <v>878</v>
      </c>
      <c r="V61" t="s">
        <v>198</v>
      </c>
      <c r="W61" t="s">
        <v>936</v>
      </c>
    </row>
    <row r="62" spans="1:23" x14ac:dyDescent="0.3">
      <c r="A62">
        <v>69</v>
      </c>
      <c r="B62" t="s">
        <v>83</v>
      </c>
      <c r="C62" t="s">
        <v>619</v>
      </c>
      <c r="D62" t="s">
        <v>895</v>
      </c>
      <c r="E62" t="s">
        <v>901</v>
      </c>
      <c r="F62" t="s">
        <v>406</v>
      </c>
      <c r="G62" t="s">
        <v>150</v>
      </c>
      <c r="H62" t="s">
        <v>165</v>
      </c>
      <c r="I62" t="s">
        <v>155</v>
      </c>
      <c r="J62">
        <v>80</v>
      </c>
      <c r="K62" t="s">
        <v>167</v>
      </c>
      <c r="L62" t="s">
        <v>900</v>
      </c>
      <c r="M62" t="s">
        <v>902</v>
      </c>
      <c r="N62">
        <v>1</v>
      </c>
      <c r="O62">
        <v>5074</v>
      </c>
      <c r="P62" t="s">
        <v>85</v>
      </c>
      <c r="Q62" s="83">
        <v>45556</v>
      </c>
      <c r="R62" s="83">
        <v>45570</v>
      </c>
      <c r="S62" s="83">
        <v>45577</v>
      </c>
      <c r="T62">
        <v>21</v>
      </c>
      <c r="U62" t="s">
        <v>880</v>
      </c>
      <c r="V62" t="s">
        <v>198</v>
      </c>
      <c r="W62" t="s">
        <v>936</v>
      </c>
    </row>
    <row r="63" spans="1:23" x14ac:dyDescent="0.3">
      <c r="A63">
        <v>70</v>
      </c>
      <c r="B63" t="s">
        <v>43</v>
      </c>
      <c r="C63" t="s">
        <v>42</v>
      </c>
      <c r="D63" t="s">
        <v>894</v>
      </c>
      <c r="E63" t="s">
        <v>901</v>
      </c>
      <c r="F63" t="s">
        <v>43</v>
      </c>
      <c r="G63" t="s">
        <v>150</v>
      </c>
      <c r="H63" t="s">
        <v>165</v>
      </c>
      <c r="I63" t="s">
        <v>154</v>
      </c>
      <c r="J63">
        <v>100</v>
      </c>
      <c r="K63" t="s">
        <v>201</v>
      </c>
      <c r="L63" t="s">
        <v>900</v>
      </c>
      <c r="M63" t="s">
        <v>904</v>
      </c>
      <c r="N63">
        <v>1</v>
      </c>
      <c r="O63">
        <v>6250</v>
      </c>
      <c r="P63" t="s">
        <v>85</v>
      </c>
      <c r="Q63" s="83">
        <v>45558</v>
      </c>
      <c r="R63" s="83">
        <v>45573</v>
      </c>
      <c r="S63" s="83">
        <v>45582</v>
      </c>
      <c r="T63">
        <v>24</v>
      </c>
      <c r="U63" t="s">
        <v>880</v>
      </c>
      <c r="V63" t="s">
        <v>198</v>
      </c>
      <c r="W63" t="s">
        <v>936</v>
      </c>
    </row>
    <row r="64" spans="1:23" x14ac:dyDescent="0.3">
      <c r="A64">
        <v>71</v>
      </c>
      <c r="B64" t="s">
        <v>43</v>
      </c>
      <c r="C64" t="s">
        <v>42</v>
      </c>
      <c r="D64" t="s">
        <v>894</v>
      </c>
      <c r="E64" t="s">
        <v>901</v>
      </c>
      <c r="F64" t="s">
        <v>43</v>
      </c>
      <c r="G64" t="s">
        <v>150</v>
      </c>
      <c r="H64" t="s">
        <v>165</v>
      </c>
      <c r="I64" t="s">
        <v>154</v>
      </c>
      <c r="J64">
        <v>100</v>
      </c>
      <c r="K64" t="s">
        <v>201</v>
      </c>
      <c r="L64" t="s">
        <v>900</v>
      </c>
      <c r="M64" t="s">
        <v>904</v>
      </c>
      <c r="N64">
        <v>1</v>
      </c>
      <c r="O64">
        <v>6250</v>
      </c>
      <c r="P64" t="s">
        <v>85</v>
      </c>
      <c r="Q64" s="83">
        <v>45558</v>
      </c>
      <c r="R64" s="83">
        <v>45573</v>
      </c>
      <c r="S64" s="83">
        <v>45582</v>
      </c>
      <c r="T64">
        <v>24</v>
      </c>
      <c r="U64" t="s">
        <v>880</v>
      </c>
      <c r="V64" t="s">
        <v>198</v>
      </c>
      <c r="W64" t="s">
        <v>936</v>
      </c>
    </row>
    <row r="65" spans="1:23" x14ac:dyDescent="0.3">
      <c r="A65">
        <v>72</v>
      </c>
      <c r="B65" t="s">
        <v>202</v>
      </c>
      <c r="C65" t="s">
        <v>42</v>
      </c>
      <c r="D65" t="s">
        <v>894</v>
      </c>
      <c r="E65" t="s">
        <v>888</v>
      </c>
      <c r="F65" t="s">
        <v>8</v>
      </c>
      <c r="G65" t="s">
        <v>150</v>
      </c>
      <c r="H65" t="s">
        <v>153</v>
      </c>
      <c r="I65" t="s">
        <v>177</v>
      </c>
      <c r="J65">
        <v>120</v>
      </c>
      <c r="K65" t="s">
        <v>167</v>
      </c>
      <c r="L65" t="s">
        <v>900</v>
      </c>
      <c r="M65" t="s">
        <v>905</v>
      </c>
      <c r="N65">
        <v>1</v>
      </c>
      <c r="O65">
        <v>8943</v>
      </c>
      <c r="P65" t="s">
        <v>886</v>
      </c>
      <c r="Q65" s="83">
        <v>45561</v>
      </c>
      <c r="R65" s="83">
        <v>45606</v>
      </c>
      <c r="S65" s="83">
        <v>45575</v>
      </c>
      <c r="T65">
        <v>14</v>
      </c>
      <c r="U65" t="s">
        <v>880</v>
      </c>
      <c r="V65" t="s">
        <v>198</v>
      </c>
      <c r="W65" t="s">
        <v>934</v>
      </c>
    </row>
    <row r="66" spans="1:23" x14ac:dyDescent="0.3">
      <c r="A66">
        <v>73</v>
      </c>
      <c r="B66" t="s">
        <v>203</v>
      </c>
      <c r="C66" t="s">
        <v>204</v>
      </c>
      <c r="D66" t="s">
        <v>890</v>
      </c>
      <c r="E66" t="s">
        <v>888</v>
      </c>
      <c r="F66" t="s">
        <v>8</v>
      </c>
      <c r="G66" t="s">
        <v>292</v>
      </c>
      <c r="H66" t="s">
        <v>189</v>
      </c>
      <c r="J66">
        <v>0</v>
      </c>
      <c r="K66" t="s">
        <v>900</v>
      </c>
      <c r="L66" t="s">
        <v>900</v>
      </c>
      <c r="M66" t="s">
        <v>906</v>
      </c>
      <c r="N66">
        <v>1</v>
      </c>
      <c r="O66">
        <v>8349</v>
      </c>
      <c r="P66" t="s">
        <v>886</v>
      </c>
      <c r="Q66" s="83">
        <v>45561</v>
      </c>
      <c r="R66" s="83">
        <v>45606</v>
      </c>
      <c r="S66" s="83"/>
      <c r="U66" t="s">
        <v>879</v>
      </c>
      <c r="V66" t="s">
        <v>879</v>
      </c>
      <c r="W66" t="s">
        <v>935</v>
      </c>
    </row>
    <row r="67" spans="1:23" x14ac:dyDescent="0.3">
      <c r="A67">
        <v>75</v>
      </c>
      <c r="B67" t="s">
        <v>52</v>
      </c>
      <c r="C67" t="s">
        <v>900</v>
      </c>
      <c r="D67" t="s">
        <v>900</v>
      </c>
      <c r="E67" t="s">
        <v>901</v>
      </c>
      <c r="F67" t="s">
        <v>52</v>
      </c>
      <c r="G67" t="s">
        <v>150</v>
      </c>
      <c r="H67" t="s">
        <v>165</v>
      </c>
      <c r="I67" t="s">
        <v>154</v>
      </c>
      <c r="J67">
        <v>100</v>
      </c>
      <c r="K67" t="s">
        <v>168</v>
      </c>
      <c r="L67" t="s">
        <v>900</v>
      </c>
      <c r="M67" t="s">
        <v>907</v>
      </c>
      <c r="N67">
        <v>1</v>
      </c>
      <c r="O67">
        <v>9208</v>
      </c>
      <c r="P67" t="s">
        <v>886</v>
      </c>
      <c r="Q67" s="83">
        <v>45561</v>
      </c>
      <c r="R67" s="83">
        <v>45579</v>
      </c>
      <c r="S67" s="83"/>
      <c r="U67" t="s">
        <v>879</v>
      </c>
      <c r="V67" t="s">
        <v>879</v>
      </c>
      <c r="W67" t="s">
        <v>935</v>
      </c>
    </row>
    <row r="68" spans="1:23" x14ac:dyDescent="0.3">
      <c r="A68">
        <v>76</v>
      </c>
      <c r="B68" t="s">
        <v>52</v>
      </c>
      <c r="C68" t="s">
        <v>900</v>
      </c>
      <c r="D68" t="s">
        <v>900</v>
      </c>
      <c r="E68" t="s">
        <v>901</v>
      </c>
      <c r="F68" t="s">
        <v>52</v>
      </c>
      <c r="G68" t="s">
        <v>150</v>
      </c>
      <c r="H68" t="s">
        <v>153</v>
      </c>
      <c r="I68" t="s">
        <v>156</v>
      </c>
      <c r="J68">
        <v>120</v>
      </c>
      <c r="K68" t="s">
        <v>167</v>
      </c>
      <c r="L68" t="s">
        <v>900</v>
      </c>
      <c r="M68" t="s">
        <v>905</v>
      </c>
      <c r="N68">
        <v>1</v>
      </c>
      <c r="O68">
        <v>7433</v>
      </c>
      <c r="P68" t="s">
        <v>16</v>
      </c>
      <c r="Q68" s="83">
        <v>45564</v>
      </c>
      <c r="R68" s="83">
        <v>45585</v>
      </c>
      <c r="S68" s="83">
        <v>45586</v>
      </c>
      <c r="T68">
        <v>22</v>
      </c>
      <c r="U68" t="s">
        <v>880</v>
      </c>
      <c r="V68" t="s">
        <v>198</v>
      </c>
      <c r="W68" t="s">
        <v>936</v>
      </c>
    </row>
    <row r="69" spans="1:23" x14ac:dyDescent="0.3">
      <c r="A69">
        <v>77</v>
      </c>
      <c r="B69" t="s">
        <v>83</v>
      </c>
      <c r="C69" t="s">
        <v>619</v>
      </c>
      <c r="D69" t="s">
        <v>895</v>
      </c>
      <c r="E69" t="s">
        <v>901</v>
      </c>
      <c r="F69" t="s">
        <v>406</v>
      </c>
      <c r="G69" t="s">
        <v>150</v>
      </c>
      <c r="H69" t="s">
        <v>153</v>
      </c>
      <c r="I69" t="s">
        <v>177</v>
      </c>
      <c r="J69">
        <v>120</v>
      </c>
      <c r="K69" t="s">
        <v>167</v>
      </c>
      <c r="L69" t="s">
        <v>900</v>
      </c>
      <c r="M69" t="s">
        <v>905</v>
      </c>
      <c r="N69">
        <v>1</v>
      </c>
      <c r="O69">
        <v>4020</v>
      </c>
      <c r="P69" t="s">
        <v>85</v>
      </c>
      <c r="Q69" s="83">
        <v>45564</v>
      </c>
      <c r="R69" s="83">
        <v>45577</v>
      </c>
      <c r="S69" s="83">
        <v>45577</v>
      </c>
      <c r="T69">
        <v>13</v>
      </c>
      <c r="U69" t="s">
        <v>880</v>
      </c>
      <c r="V69" t="s">
        <v>198</v>
      </c>
      <c r="W69" t="s">
        <v>934</v>
      </c>
    </row>
    <row r="70" spans="1:23" x14ac:dyDescent="0.3">
      <c r="A70">
        <v>78</v>
      </c>
      <c r="B70" t="s">
        <v>210</v>
      </c>
      <c r="C70" t="s">
        <v>212</v>
      </c>
      <c r="D70" t="s">
        <v>212</v>
      </c>
      <c r="E70" t="s">
        <v>888</v>
      </c>
      <c r="F70" t="s">
        <v>212</v>
      </c>
      <c r="G70" t="s">
        <v>150</v>
      </c>
      <c r="H70" t="s">
        <v>165</v>
      </c>
      <c r="I70" t="s">
        <v>213</v>
      </c>
      <c r="J70">
        <v>100</v>
      </c>
      <c r="K70" t="s">
        <v>214</v>
      </c>
      <c r="L70" t="s">
        <v>900</v>
      </c>
      <c r="M70" t="s">
        <v>908</v>
      </c>
      <c r="N70">
        <v>1</v>
      </c>
      <c r="O70">
        <v>8544.9053999999996</v>
      </c>
      <c r="P70" t="s">
        <v>886</v>
      </c>
      <c r="Q70" s="83">
        <v>45566</v>
      </c>
      <c r="R70" s="83">
        <v>45574</v>
      </c>
      <c r="S70" s="83">
        <v>45574</v>
      </c>
      <c r="T70">
        <v>8</v>
      </c>
      <c r="U70" t="s">
        <v>881</v>
      </c>
      <c r="V70" t="s">
        <v>198</v>
      </c>
      <c r="W70" t="s">
        <v>934</v>
      </c>
    </row>
    <row r="71" spans="1:23" x14ac:dyDescent="0.3">
      <c r="A71">
        <v>86</v>
      </c>
      <c r="B71" t="s">
        <v>231</v>
      </c>
      <c r="C71" t="s">
        <v>67</v>
      </c>
      <c r="D71" t="s">
        <v>894</v>
      </c>
      <c r="E71" t="s">
        <v>888</v>
      </c>
      <c r="F71" t="s">
        <v>8</v>
      </c>
      <c r="G71" t="s">
        <v>150</v>
      </c>
      <c r="H71" t="s">
        <v>165</v>
      </c>
      <c r="I71" t="s">
        <v>152</v>
      </c>
      <c r="J71">
        <v>140</v>
      </c>
      <c r="K71" t="s">
        <v>234</v>
      </c>
      <c r="L71" t="s">
        <v>900</v>
      </c>
      <c r="M71" t="s">
        <v>909</v>
      </c>
      <c r="N71">
        <v>1</v>
      </c>
      <c r="O71">
        <v>12899</v>
      </c>
      <c r="P71" t="s">
        <v>886</v>
      </c>
      <c r="Q71" s="83">
        <v>45578</v>
      </c>
      <c r="R71" s="83">
        <v>45643</v>
      </c>
      <c r="S71" s="83">
        <v>45598</v>
      </c>
      <c r="T71">
        <v>20</v>
      </c>
      <c r="U71" t="s">
        <v>880</v>
      </c>
      <c r="V71" t="s">
        <v>198</v>
      </c>
      <c r="W71" t="s">
        <v>934</v>
      </c>
    </row>
    <row r="72" spans="1:23" x14ac:dyDescent="0.3">
      <c r="A72">
        <v>87</v>
      </c>
      <c r="B72" t="s">
        <v>235</v>
      </c>
      <c r="C72" t="s">
        <v>49</v>
      </c>
      <c r="D72" t="s">
        <v>894</v>
      </c>
      <c r="E72" t="s">
        <v>888</v>
      </c>
      <c r="F72" t="s">
        <v>8</v>
      </c>
      <c r="G72" t="s">
        <v>150</v>
      </c>
      <c r="H72" t="s">
        <v>165</v>
      </c>
      <c r="I72" t="s">
        <v>155</v>
      </c>
      <c r="J72">
        <v>80</v>
      </c>
      <c r="K72" t="s">
        <v>167</v>
      </c>
      <c r="L72" t="s">
        <v>900</v>
      </c>
      <c r="M72" t="s">
        <v>902</v>
      </c>
      <c r="N72">
        <v>1</v>
      </c>
      <c r="O72">
        <v>10499</v>
      </c>
      <c r="P72" t="s">
        <v>16</v>
      </c>
      <c r="Q72" s="83">
        <v>45581</v>
      </c>
      <c r="R72" s="83">
        <v>45645</v>
      </c>
      <c r="S72" s="83">
        <v>45586</v>
      </c>
      <c r="T72">
        <v>5</v>
      </c>
      <c r="U72" t="s">
        <v>880</v>
      </c>
      <c r="V72" t="s">
        <v>198</v>
      </c>
      <c r="W72" t="s">
        <v>934</v>
      </c>
    </row>
    <row r="73" spans="1:23" x14ac:dyDescent="0.3">
      <c r="A73">
        <v>89</v>
      </c>
      <c r="B73" t="s">
        <v>237</v>
      </c>
      <c r="C73" t="s">
        <v>238</v>
      </c>
      <c r="D73" t="s">
        <v>891</v>
      </c>
      <c r="E73" t="s">
        <v>888</v>
      </c>
      <c r="F73" t="s">
        <v>8</v>
      </c>
      <c r="G73" t="s">
        <v>150</v>
      </c>
      <c r="H73" t="s">
        <v>165</v>
      </c>
      <c r="I73" t="s">
        <v>152</v>
      </c>
      <c r="J73">
        <v>140</v>
      </c>
      <c r="K73" t="s">
        <v>234</v>
      </c>
      <c r="L73" t="s">
        <v>900</v>
      </c>
      <c r="M73" t="s">
        <v>909</v>
      </c>
      <c r="N73">
        <v>1</v>
      </c>
      <c r="O73">
        <v>12899</v>
      </c>
      <c r="P73" t="s">
        <v>16</v>
      </c>
      <c r="Q73" s="83">
        <v>45582</v>
      </c>
      <c r="R73" s="83">
        <v>45648</v>
      </c>
      <c r="S73" s="83">
        <v>45629</v>
      </c>
      <c r="T73">
        <v>47</v>
      </c>
      <c r="U73" t="s">
        <v>878</v>
      </c>
      <c r="V73" t="s">
        <v>198</v>
      </c>
      <c r="W73" t="s">
        <v>934</v>
      </c>
    </row>
    <row r="74" spans="1:23" x14ac:dyDescent="0.3">
      <c r="A74">
        <v>91</v>
      </c>
      <c r="B74" t="s">
        <v>52</v>
      </c>
      <c r="C74" t="s">
        <v>204</v>
      </c>
      <c r="D74" t="s">
        <v>890</v>
      </c>
      <c r="E74" t="s">
        <v>901</v>
      </c>
      <c r="F74" t="s">
        <v>52</v>
      </c>
      <c r="G74" t="s">
        <v>150</v>
      </c>
      <c r="H74" t="s">
        <v>165</v>
      </c>
      <c r="I74" t="s">
        <v>246</v>
      </c>
      <c r="J74">
        <v>100</v>
      </c>
      <c r="K74" t="s">
        <v>247</v>
      </c>
      <c r="L74" t="s">
        <v>900</v>
      </c>
      <c r="M74" t="s">
        <v>910</v>
      </c>
      <c r="N74">
        <v>1</v>
      </c>
      <c r="O74">
        <v>12777.5</v>
      </c>
      <c r="P74" t="s">
        <v>886</v>
      </c>
      <c r="Q74" s="83">
        <v>45587</v>
      </c>
      <c r="R74" s="83">
        <v>45608</v>
      </c>
      <c r="S74" s="83">
        <v>45614</v>
      </c>
      <c r="T74">
        <v>27</v>
      </c>
      <c r="U74" t="s">
        <v>880</v>
      </c>
      <c r="V74" t="s">
        <v>198</v>
      </c>
      <c r="W74" t="s">
        <v>936</v>
      </c>
    </row>
    <row r="75" spans="1:23" x14ac:dyDescent="0.3">
      <c r="A75">
        <v>92</v>
      </c>
      <c r="B75" t="s">
        <v>52</v>
      </c>
      <c r="C75" t="s">
        <v>204</v>
      </c>
      <c r="D75" t="s">
        <v>890</v>
      </c>
      <c r="E75" t="s">
        <v>901</v>
      </c>
      <c r="F75" t="s">
        <v>52</v>
      </c>
      <c r="G75" t="s">
        <v>150</v>
      </c>
      <c r="H75" t="s">
        <v>165</v>
      </c>
      <c r="I75" t="s">
        <v>246</v>
      </c>
      <c r="J75">
        <v>100</v>
      </c>
      <c r="K75" t="s">
        <v>247</v>
      </c>
      <c r="L75" t="s">
        <v>900</v>
      </c>
      <c r="M75" t="s">
        <v>910</v>
      </c>
      <c r="N75">
        <v>1</v>
      </c>
      <c r="O75">
        <v>12777.5</v>
      </c>
      <c r="P75" t="s">
        <v>886</v>
      </c>
      <c r="Q75" s="83">
        <v>45587</v>
      </c>
      <c r="R75" s="83">
        <v>45608</v>
      </c>
      <c r="S75" s="83">
        <v>45614</v>
      </c>
      <c r="T75">
        <v>27</v>
      </c>
      <c r="U75" t="s">
        <v>880</v>
      </c>
      <c r="V75" t="s">
        <v>198</v>
      </c>
      <c r="W75" t="s">
        <v>936</v>
      </c>
    </row>
    <row r="76" spans="1:23" x14ac:dyDescent="0.3">
      <c r="A76">
        <v>93</v>
      </c>
      <c r="B76" t="s">
        <v>83</v>
      </c>
      <c r="C76" t="s">
        <v>248</v>
      </c>
      <c r="D76" t="s">
        <v>894</v>
      </c>
      <c r="E76" t="s">
        <v>901</v>
      </c>
      <c r="F76" t="s">
        <v>406</v>
      </c>
      <c r="G76" t="s">
        <v>150</v>
      </c>
      <c r="H76" t="s">
        <v>165</v>
      </c>
      <c r="I76" t="s">
        <v>246</v>
      </c>
      <c r="J76">
        <v>100</v>
      </c>
      <c r="K76" t="s">
        <v>247</v>
      </c>
      <c r="L76" t="s">
        <v>900</v>
      </c>
      <c r="M76" t="s">
        <v>910</v>
      </c>
      <c r="N76">
        <v>1</v>
      </c>
      <c r="O76">
        <v>8544.91</v>
      </c>
      <c r="P76" t="s">
        <v>85</v>
      </c>
      <c r="Q76" s="83">
        <v>45587</v>
      </c>
      <c r="R76" s="83">
        <v>45520</v>
      </c>
      <c r="S76" s="83"/>
      <c r="U76" t="s">
        <v>879</v>
      </c>
      <c r="V76" t="s">
        <v>879</v>
      </c>
      <c r="W76" t="s">
        <v>935</v>
      </c>
    </row>
    <row r="77" spans="1:23" x14ac:dyDescent="0.3">
      <c r="A77">
        <v>94</v>
      </c>
      <c r="B77" t="s">
        <v>250</v>
      </c>
      <c r="C77" t="s">
        <v>251</v>
      </c>
      <c r="D77" t="s">
        <v>890</v>
      </c>
      <c r="E77" t="s">
        <v>888</v>
      </c>
      <c r="F77" t="s">
        <v>8</v>
      </c>
      <c r="G77" t="s">
        <v>150</v>
      </c>
      <c r="H77" t="s">
        <v>153</v>
      </c>
      <c r="I77" t="s">
        <v>177</v>
      </c>
      <c r="J77">
        <v>120</v>
      </c>
      <c r="K77" t="s">
        <v>167</v>
      </c>
      <c r="L77" t="s">
        <v>900</v>
      </c>
      <c r="M77" t="s">
        <v>905</v>
      </c>
      <c r="N77">
        <v>1</v>
      </c>
      <c r="O77">
        <v>8943</v>
      </c>
      <c r="P77" t="s">
        <v>886</v>
      </c>
      <c r="Q77" s="83">
        <v>45586</v>
      </c>
      <c r="R77" s="83">
        <v>45610</v>
      </c>
      <c r="S77" s="83">
        <v>45614</v>
      </c>
      <c r="T77">
        <v>28</v>
      </c>
      <c r="U77" t="s">
        <v>880</v>
      </c>
      <c r="V77" t="s">
        <v>198</v>
      </c>
      <c r="W77" t="s">
        <v>936</v>
      </c>
    </row>
    <row r="78" spans="1:23" x14ac:dyDescent="0.3">
      <c r="A78">
        <v>95</v>
      </c>
      <c r="B78" t="s">
        <v>52</v>
      </c>
      <c r="C78" t="s">
        <v>900</v>
      </c>
      <c r="D78" t="s">
        <v>900</v>
      </c>
      <c r="E78" t="s">
        <v>901</v>
      </c>
      <c r="F78" t="s">
        <v>52</v>
      </c>
      <c r="G78" t="s">
        <v>161</v>
      </c>
      <c r="H78" t="s">
        <v>164</v>
      </c>
      <c r="J78">
        <v>120</v>
      </c>
      <c r="K78" t="s">
        <v>168</v>
      </c>
      <c r="L78" t="s">
        <v>900</v>
      </c>
      <c r="M78" t="s">
        <v>911</v>
      </c>
      <c r="N78">
        <v>1</v>
      </c>
      <c r="O78">
        <v>15516</v>
      </c>
      <c r="P78" t="s">
        <v>16</v>
      </c>
      <c r="Q78" s="83">
        <v>45589</v>
      </c>
      <c r="R78" s="83">
        <v>45610</v>
      </c>
      <c r="S78" s="83">
        <v>45595</v>
      </c>
      <c r="T78">
        <v>6</v>
      </c>
      <c r="U78" t="s">
        <v>880</v>
      </c>
      <c r="V78" t="s">
        <v>198</v>
      </c>
      <c r="W78" t="s">
        <v>934</v>
      </c>
    </row>
    <row r="79" spans="1:23" x14ac:dyDescent="0.3">
      <c r="A79">
        <v>96</v>
      </c>
      <c r="B79" t="s">
        <v>52</v>
      </c>
      <c r="C79" t="s">
        <v>900</v>
      </c>
      <c r="D79" t="s">
        <v>900</v>
      </c>
      <c r="E79" t="s">
        <v>901</v>
      </c>
      <c r="F79" t="s">
        <v>52</v>
      </c>
      <c r="G79" t="s">
        <v>150</v>
      </c>
      <c r="H79" t="s">
        <v>165</v>
      </c>
      <c r="I79" t="s">
        <v>154</v>
      </c>
      <c r="J79">
        <v>100</v>
      </c>
      <c r="K79" t="s">
        <v>168</v>
      </c>
      <c r="L79" t="s">
        <v>900</v>
      </c>
      <c r="M79" t="s">
        <v>907</v>
      </c>
      <c r="N79">
        <v>1</v>
      </c>
      <c r="O79">
        <v>10045</v>
      </c>
      <c r="P79" t="s">
        <v>886</v>
      </c>
      <c r="Q79" s="83">
        <v>45591</v>
      </c>
      <c r="R79" s="83">
        <v>45612</v>
      </c>
      <c r="S79" s="83"/>
      <c r="U79" t="s">
        <v>879</v>
      </c>
      <c r="V79" t="s">
        <v>879</v>
      </c>
      <c r="W79" t="s">
        <v>935</v>
      </c>
    </row>
    <row r="80" spans="1:23" x14ac:dyDescent="0.3">
      <c r="A80">
        <v>97</v>
      </c>
      <c r="B80" t="s">
        <v>131</v>
      </c>
      <c r="C80" t="s">
        <v>252</v>
      </c>
      <c r="D80" t="s">
        <v>890</v>
      </c>
      <c r="E80" t="s">
        <v>888</v>
      </c>
      <c r="F80" t="s">
        <v>8</v>
      </c>
      <c r="G80" t="s">
        <v>150</v>
      </c>
      <c r="H80" t="s">
        <v>165</v>
      </c>
      <c r="I80" t="s">
        <v>154</v>
      </c>
      <c r="J80">
        <v>90</v>
      </c>
      <c r="K80" t="s">
        <v>168</v>
      </c>
      <c r="L80" t="s">
        <v>900</v>
      </c>
      <c r="M80" t="s">
        <v>912</v>
      </c>
      <c r="N80">
        <v>1</v>
      </c>
      <c r="O80">
        <v>11649</v>
      </c>
      <c r="P80" t="s">
        <v>886</v>
      </c>
      <c r="Q80" s="83">
        <v>45591</v>
      </c>
      <c r="R80" s="83">
        <v>45606</v>
      </c>
      <c r="S80" s="83">
        <v>45614</v>
      </c>
      <c r="T80">
        <v>23</v>
      </c>
      <c r="U80" t="s">
        <v>880</v>
      </c>
      <c r="V80" t="s">
        <v>198</v>
      </c>
      <c r="W80" t="s">
        <v>936</v>
      </c>
    </row>
    <row r="81" spans="1:23" x14ac:dyDescent="0.3">
      <c r="A81">
        <v>97</v>
      </c>
      <c r="B81" t="s">
        <v>131</v>
      </c>
      <c r="C81" t="s">
        <v>252</v>
      </c>
      <c r="D81" t="s">
        <v>890</v>
      </c>
      <c r="E81" t="s">
        <v>888</v>
      </c>
      <c r="F81" t="s">
        <v>8</v>
      </c>
      <c r="G81" t="s">
        <v>150</v>
      </c>
      <c r="H81" t="s">
        <v>165</v>
      </c>
      <c r="I81" t="s">
        <v>154</v>
      </c>
      <c r="J81">
        <v>90</v>
      </c>
      <c r="K81" t="s">
        <v>168</v>
      </c>
      <c r="L81" t="s">
        <v>900</v>
      </c>
      <c r="M81" t="s">
        <v>912</v>
      </c>
      <c r="N81">
        <v>1</v>
      </c>
      <c r="O81">
        <v>11649</v>
      </c>
      <c r="P81" t="s">
        <v>886</v>
      </c>
      <c r="Q81" s="83">
        <v>45591</v>
      </c>
      <c r="R81" s="83">
        <v>45606</v>
      </c>
      <c r="S81" s="83">
        <v>45614</v>
      </c>
      <c r="T81">
        <v>23</v>
      </c>
      <c r="U81" t="s">
        <v>880</v>
      </c>
      <c r="V81" t="s">
        <v>198</v>
      </c>
      <c r="W81" t="s">
        <v>936</v>
      </c>
    </row>
    <row r="82" spans="1:23" x14ac:dyDescent="0.3">
      <c r="A82">
        <v>98</v>
      </c>
      <c r="B82" t="s">
        <v>131</v>
      </c>
      <c r="C82" t="s">
        <v>252</v>
      </c>
      <c r="D82" t="s">
        <v>890</v>
      </c>
      <c r="E82" t="s">
        <v>888</v>
      </c>
      <c r="F82" t="s">
        <v>8</v>
      </c>
      <c r="G82" t="s">
        <v>150</v>
      </c>
      <c r="H82" t="s">
        <v>165</v>
      </c>
      <c r="I82" t="s">
        <v>154</v>
      </c>
      <c r="J82">
        <v>90</v>
      </c>
      <c r="K82" t="s">
        <v>168</v>
      </c>
      <c r="L82" t="s">
        <v>900</v>
      </c>
      <c r="M82" t="s">
        <v>912</v>
      </c>
      <c r="N82">
        <v>1</v>
      </c>
      <c r="O82">
        <v>11649</v>
      </c>
      <c r="P82" t="s">
        <v>886</v>
      </c>
      <c r="Q82" s="83">
        <v>45591</v>
      </c>
      <c r="R82" s="83">
        <v>45606</v>
      </c>
      <c r="S82" s="83">
        <v>45614</v>
      </c>
      <c r="T82">
        <v>23</v>
      </c>
      <c r="U82" t="s">
        <v>880</v>
      </c>
      <c r="V82" t="s">
        <v>198</v>
      </c>
      <c r="W82" t="s">
        <v>936</v>
      </c>
    </row>
    <row r="83" spans="1:23" x14ac:dyDescent="0.3">
      <c r="A83">
        <v>98</v>
      </c>
      <c r="B83" t="s">
        <v>131</v>
      </c>
      <c r="C83" t="s">
        <v>252</v>
      </c>
      <c r="D83" t="s">
        <v>890</v>
      </c>
      <c r="E83" t="s">
        <v>888</v>
      </c>
      <c r="F83" t="s">
        <v>8</v>
      </c>
      <c r="G83" t="s">
        <v>150</v>
      </c>
      <c r="H83" t="s">
        <v>165</v>
      </c>
      <c r="I83" t="s">
        <v>154</v>
      </c>
      <c r="J83">
        <v>90</v>
      </c>
      <c r="K83" t="s">
        <v>168</v>
      </c>
      <c r="L83" t="s">
        <v>900</v>
      </c>
      <c r="M83" t="s">
        <v>912</v>
      </c>
      <c r="N83">
        <v>1</v>
      </c>
      <c r="O83">
        <v>11649</v>
      </c>
      <c r="P83" t="s">
        <v>886</v>
      </c>
      <c r="Q83" s="83">
        <v>45591</v>
      </c>
      <c r="R83" s="83">
        <v>45606</v>
      </c>
      <c r="S83" s="83">
        <v>45614</v>
      </c>
      <c r="T83">
        <v>23</v>
      </c>
      <c r="U83" t="s">
        <v>880</v>
      </c>
      <c r="V83" t="s">
        <v>198</v>
      </c>
      <c r="W83" t="s">
        <v>936</v>
      </c>
    </row>
    <row r="84" spans="1:23" x14ac:dyDescent="0.3">
      <c r="A84">
        <v>99</v>
      </c>
      <c r="B84" t="s">
        <v>253</v>
      </c>
      <c r="C84" t="s">
        <v>107</v>
      </c>
      <c r="D84" t="s">
        <v>894</v>
      </c>
      <c r="E84" t="s">
        <v>888</v>
      </c>
      <c r="F84" t="s">
        <v>8</v>
      </c>
      <c r="G84" t="s">
        <v>150</v>
      </c>
      <c r="H84" t="s">
        <v>153</v>
      </c>
      <c r="I84" t="s">
        <v>156</v>
      </c>
      <c r="J84">
        <v>100</v>
      </c>
      <c r="K84" t="s">
        <v>167</v>
      </c>
      <c r="L84" t="s">
        <v>900</v>
      </c>
      <c r="M84" t="s">
        <v>913</v>
      </c>
      <c r="N84">
        <v>1</v>
      </c>
      <c r="O84">
        <v>4800</v>
      </c>
      <c r="P84" t="s">
        <v>886</v>
      </c>
      <c r="Q84" s="83">
        <v>45593</v>
      </c>
      <c r="R84" s="83">
        <v>45607</v>
      </c>
      <c r="S84" s="83">
        <v>45617</v>
      </c>
      <c r="T84">
        <v>24</v>
      </c>
      <c r="U84" t="s">
        <v>880</v>
      </c>
      <c r="V84" t="s">
        <v>198</v>
      </c>
      <c r="W84" t="s">
        <v>936</v>
      </c>
    </row>
    <row r="85" spans="1:23" x14ac:dyDescent="0.3">
      <c r="A85">
        <v>100</v>
      </c>
      <c r="B85" t="s">
        <v>253</v>
      </c>
      <c r="C85" t="s">
        <v>107</v>
      </c>
      <c r="D85" t="s">
        <v>894</v>
      </c>
      <c r="E85" t="s">
        <v>888</v>
      </c>
      <c r="F85" t="s">
        <v>8</v>
      </c>
      <c r="G85" t="s">
        <v>150</v>
      </c>
      <c r="H85" t="s">
        <v>153</v>
      </c>
      <c r="I85" t="s">
        <v>156</v>
      </c>
      <c r="J85">
        <v>120</v>
      </c>
      <c r="K85" t="s">
        <v>167</v>
      </c>
      <c r="L85" t="s">
        <v>900</v>
      </c>
      <c r="M85" t="s">
        <v>905</v>
      </c>
      <c r="N85">
        <v>1</v>
      </c>
      <c r="O85">
        <v>5000</v>
      </c>
      <c r="P85" t="s">
        <v>886</v>
      </c>
      <c r="Q85" s="83">
        <v>45593</v>
      </c>
      <c r="R85" s="83">
        <v>45607</v>
      </c>
      <c r="S85" s="83">
        <v>45617</v>
      </c>
      <c r="T85">
        <v>24</v>
      </c>
      <c r="U85" t="s">
        <v>880</v>
      </c>
      <c r="V85" t="s">
        <v>198</v>
      </c>
      <c r="W85" t="s">
        <v>936</v>
      </c>
    </row>
    <row r="86" spans="1:23" x14ac:dyDescent="0.3">
      <c r="A86">
        <v>101</v>
      </c>
      <c r="B86" t="s">
        <v>704</v>
      </c>
      <c r="C86" t="s">
        <v>264</v>
      </c>
      <c r="D86" t="s">
        <v>894</v>
      </c>
      <c r="E86" t="s">
        <v>888</v>
      </c>
      <c r="F86" t="s">
        <v>8</v>
      </c>
      <c r="G86" t="s">
        <v>150</v>
      </c>
      <c r="H86" t="s">
        <v>165</v>
      </c>
      <c r="I86" t="s">
        <v>155</v>
      </c>
      <c r="J86">
        <v>80</v>
      </c>
      <c r="K86" t="s">
        <v>167</v>
      </c>
      <c r="L86" t="s">
        <v>900</v>
      </c>
      <c r="M86" t="s">
        <v>902</v>
      </c>
      <c r="N86">
        <v>1</v>
      </c>
      <c r="O86">
        <v>12099</v>
      </c>
      <c r="P86" t="s">
        <v>16</v>
      </c>
      <c r="Q86" s="83">
        <v>45607</v>
      </c>
      <c r="R86" s="83">
        <v>45622</v>
      </c>
      <c r="S86" s="83">
        <v>45623</v>
      </c>
      <c r="T86">
        <v>16</v>
      </c>
      <c r="U86" t="s">
        <v>880</v>
      </c>
      <c r="V86" t="s">
        <v>198</v>
      </c>
      <c r="W86" t="s">
        <v>936</v>
      </c>
    </row>
    <row r="87" spans="1:23" x14ac:dyDescent="0.3">
      <c r="A87">
        <v>103</v>
      </c>
      <c r="B87" t="s">
        <v>263</v>
      </c>
      <c r="C87" t="s">
        <v>34</v>
      </c>
      <c r="D87" t="s">
        <v>894</v>
      </c>
      <c r="E87" t="s">
        <v>901</v>
      </c>
      <c r="F87" t="s">
        <v>263</v>
      </c>
      <c r="G87" t="s">
        <v>150</v>
      </c>
      <c r="H87" t="s">
        <v>153</v>
      </c>
      <c r="I87" t="s">
        <v>177</v>
      </c>
      <c r="J87">
        <v>120</v>
      </c>
      <c r="K87" t="s">
        <v>167</v>
      </c>
      <c r="L87" t="s">
        <v>900</v>
      </c>
      <c r="M87" t="s">
        <v>905</v>
      </c>
      <c r="N87">
        <v>1</v>
      </c>
      <c r="O87">
        <v>4520</v>
      </c>
      <c r="P87" t="s">
        <v>85</v>
      </c>
      <c r="Q87" s="83">
        <v>45606</v>
      </c>
      <c r="R87" s="83">
        <v>45618</v>
      </c>
      <c r="S87" s="83">
        <v>45617</v>
      </c>
      <c r="T87">
        <v>11</v>
      </c>
      <c r="U87" t="s">
        <v>880</v>
      </c>
      <c r="V87" t="s">
        <v>198</v>
      </c>
      <c r="W87" t="s">
        <v>934</v>
      </c>
    </row>
    <row r="88" spans="1:23" x14ac:dyDescent="0.3">
      <c r="A88">
        <v>104</v>
      </c>
      <c r="B88" t="s">
        <v>83</v>
      </c>
      <c r="C88" t="s">
        <v>619</v>
      </c>
      <c r="D88" t="s">
        <v>895</v>
      </c>
      <c r="E88" t="s">
        <v>901</v>
      </c>
      <c r="F88" t="s">
        <v>406</v>
      </c>
      <c r="G88" t="s">
        <v>150</v>
      </c>
      <c r="H88" t="s">
        <v>165</v>
      </c>
      <c r="I88" t="s">
        <v>154</v>
      </c>
      <c r="J88">
        <v>90</v>
      </c>
      <c r="K88" t="s">
        <v>168</v>
      </c>
      <c r="L88" t="s">
        <v>900</v>
      </c>
      <c r="M88" t="s">
        <v>912</v>
      </c>
      <c r="N88">
        <v>1</v>
      </c>
      <c r="O88">
        <v>5766</v>
      </c>
      <c r="P88" t="s">
        <v>85</v>
      </c>
      <c r="Q88" s="83">
        <v>45608</v>
      </c>
      <c r="R88" s="83">
        <v>45622</v>
      </c>
      <c r="S88" s="83">
        <v>45621</v>
      </c>
      <c r="T88">
        <v>13</v>
      </c>
      <c r="U88" t="s">
        <v>880</v>
      </c>
      <c r="V88" t="s">
        <v>198</v>
      </c>
      <c r="W88" t="s">
        <v>934</v>
      </c>
    </row>
    <row r="89" spans="1:23" x14ac:dyDescent="0.3">
      <c r="A89">
        <v>105</v>
      </c>
      <c r="B89" t="s">
        <v>266</v>
      </c>
      <c r="C89" t="s">
        <v>107</v>
      </c>
      <c r="D89" t="s">
        <v>894</v>
      </c>
      <c r="E89" t="s">
        <v>888</v>
      </c>
      <c r="F89" t="s">
        <v>8</v>
      </c>
      <c r="G89" t="s">
        <v>150</v>
      </c>
      <c r="H89" t="s">
        <v>153</v>
      </c>
      <c r="I89" t="s">
        <v>177</v>
      </c>
      <c r="J89">
        <v>160</v>
      </c>
      <c r="K89" t="s">
        <v>173</v>
      </c>
      <c r="L89" t="s">
        <v>900</v>
      </c>
      <c r="M89" t="s">
        <v>914</v>
      </c>
      <c r="N89">
        <v>1</v>
      </c>
      <c r="O89">
        <v>11395</v>
      </c>
      <c r="P89" t="s">
        <v>16</v>
      </c>
      <c r="Q89" s="83">
        <v>45608</v>
      </c>
      <c r="R89" s="83">
        <v>45620</v>
      </c>
      <c r="S89" s="83">
        <v>45623</v>
      </c>
      <c r="T89">
        <v>15</v>
      </c>
      <c r="U89" t="s">
        <v>880</v>
      </c>
      <c r="V89" t="s">
        <v>198</v>
      </c>
      <c r="W89" t="s">
        <v>936</v>
      </c>
    </row>
    <row r="90" spans="1:23" x14ac:dyDescent="0.3">
      <c r="A90">
        <v>106</v>
      </c>
      <c r="B90" t="s">
        <v>267</v>
      </c>
      <c r="C90" t="s">
        <v>34</v>
      </c>
      <c r="D90" t="s">
        <v>894</v>
      </c>
      <c r="E90" t="s">
        <v>888</v>
      </c>
      <c r="F90" t="s">
        <v>8</v>
      </c>
      <c r="G90" t="s">
        <v>150</v>
      </c>
      <c r="H90" t="s">
        <v>165</v>
      </c>
      <c r="I90" t="s">
        <v>154</v>
      </c>
      <c r="J90">
        <v>80</v>
      </c>
      <c r="K90" t="s">
        <v>167</v>
      </c>
      <c r="L90" t="s">
        <v>900</v>
      </c>
      <c r="M90" t="s">
        <v>902</v>
      </c>
      <c r="N90">
        <v>1</v>
      </c>
      <c r="O90">
        <v>12919</v>
      </c>
      <c r="P90" t="s">
        <v>16</v>
      </c>
      <c r="Q90" s="83">
        <v>45610</v>
      </c>
      <c r="R90" s="83">
        <v>45626</v>
      </c>
      <c r="S90" s="83">
        <v>45623</v>
      </c>
      <c r="T90">
        <v>13</v>
      </c>
      <c r="U90" t="s">
        <v>880</v>
      </c>
      <c r="V90" t="s">
        <v>198</v>
      </c>
      <c r="W90" t="s">
        <v>934</v>
      </c>
    </row>
    <row r="91" spans="1:23" x14ac:dyDescent="0.3">
      <c r="A91">
        <v>107</v>
      </c>
      <c r="B91" t="s">
        <v>83</v>
      </c>
      <c r="C91" t="s">
        <v>619</v>
      </c>
      <c r="D91" t="s">
        <v>895</v>
      </c>
      <c r="E91" t="s">
        <v>901</v>
      </c>
      <c r="F91" t="s">
        <v>406</v>
      </c>
      <c r="G91" t="s">
        <v>150</v>
      </c>
      <c r="H91" t="s">
        <v>165</v>
      </c>
      <c r="I91" t="s">
        <v>152</v>
      </c>
      <c r="J91">
        <v>120</v>
      </c>
      <c r="K91" t="s">
        <v>172</v>
      </c>
      <c r="L91" t="s">
        <v>900</v>
      </c>
      <c r="M91" t="s">
        <v>915</v>
      </c>
      <c r="N91">
        <v>1</v>
      </c>
      <c r="O91">
        <v>6376</v>
      </c>
      <c r="P91" t="s">
        <v>85</v>
      </c>
      <c r="Q91" s="83">
        <v>45610</v>
      </c>
      <c r="R91" s="83">
        <v>45623</v>
      </c>
      <c r="S91" s="83">
        <v>45621</v>
      </c>
      <c r="T91">
        <v>11</v>
      </c>
      <c r="U91" t="s">
        <v>880</v>
      </c>
      <c r="V91" t="s">
        <v>198</v>
      </c>
      <c r="W91" t="s">
        <v>934</v>
      </c>
    </row>
    <row r="92" spans="1:23" x14ac:dyDescent="0.3">
      <c r="A92">
        <v>108</v>
      </c>
      <c r="B92" t="s">
        <v>83</v>
      </c>
      <c r="C92" t="s">
        <v>272</v>
      </c>
      <c r="D92" t="s">
        <v>900</v>
      </c>
      <c r="E92" t="s">
        <v>901</v>
      </c>
      <c r="F92" t="s">
        <v>406</v>
      </c>
      <c r="G92" t="s">
        <v>150</v>
      </c>
      <c r="H92" t="s">
        <v>165</v>
      </c>
      <c r="I92" t="s">
        <v>152</v>
      </c>
      <c r="J92">
        <v>90</v>
      </c>
      <c r="K92" t="s">
        <v>168</v>
      </c>
      <c r="L92" t="s">
        <v>900</v>
      </c>
      <c r="M92" t="s">
        <v>912</v>
      </c>
      <c r="N92">
        <v>1</v>
      </c>
      <c r="O92">
        <v>5294</v>
      </c>
      <c r="P92" t="s">
        <v>85</v>
      </c>
      <c r="Q92" s="83">
        <v>45610</v>
      </c>
      <c r="R92" s="83">
        <v>45623</v>
      </c>
      <c r="S92" s="83">
        <v>45621</v>
      </c>
      <c r="T92">
        <v>11</v>
      </c>
      <c r="U92" t="s">
        <v>880</v>
      </c>
      <c r="V92" t="s">
        <v>198</v>
      </c>
      <c r="W92" t="s">
        <v>934</v>
      </c>
    </row>
    <row r="93" spans="1:23" x14ac:dyDescent="0.3">
      <c r="A93">
        <v>109</v>
      </c>
      <c r="B93" t="s">
        <v>731</v>
      </c>
      <c r="C93" t="s">
        <v>278</v>
      </c>
      <c r="D93" t="s">
        <v>890</v>
      </c>
      <c r="E93" t="s">
        <v>888</v>
      </c>
      <c r="F93" t="s">
        <v>733</v>
      </c>
      <c r="G93" t="s">
        <v>150</v>
      </c>
      <c r="H93" t="s">
        <v>165</v>
      </c>
      <c r="I93" t="s">
        <v>155</v>
      </c>
      <c r="J93">
        <v>80</v>
      </c>
      <c r="K93" t="s">
        <v>167</v>
      </c>
      <c r="L93" t="s">
        <v>900</v>
      </c>
      <c r="M93" t="s">
        <v>902</v>
      </c>
      <c r="N93">
        <v>1</v>
      </c>
      <c r="O93">
        <v>7396</v>
      </c>
      <c r="P93" t="s">
        <v>16</v>
      </c>
      <c r="Q93" s="83">
        <v>45613</v>
      </c>
      <c r="R93" s="83">
        <v>45624</v>
      </c>
      <c r="S93" s="83">
        <v>45622</v>
      </c>
      <c r="T93">
        <v>9</v>
      </c>
      <c r="U93" t="s">
        <v>880</v>
      </c>
      <c r="V93" t="s">
        <v>198</v>
      </c>
      <c r="W93" t="s">
        <v>934</v>
      </c>
    </row>
    <row r="94" spans="1:23" x14ac:dyDescent="0.3">
      <c r="A94">
        <v>110</v>
      </c>
      <c r="B94" t="s">
        <v>131</v>
      </c>
      <c r="C94" t="s">
        <v>278</v>
      </c>
      <c r="D94" t="s">
        <v>890</v>
      </c>
      <c r="E94" t="s">
        <v>888</v>
      </c>
      <c r="F94" t="s">
        <v>8</v>
      </c>
      <c r="G94" t="s">
        <v>150</v>
      </c>
      <c r="H94" t="s">
        <v>165</v>
      </c>
      <c r="I94" t="s">
        <v>154</v>
      </c>
      <c r="J94">
        <v>90</v>
      </c>
      <c r="K94" t="s">
        <v>168</v>
      </c>
      <c r="L94" t="s">
        <v>900</v>
      </c>
      <c r="M94" t="s">
        <v>912</v>
      </c>
      <c r="N94">
        <v>1</v>
      </c>
      <c r="O94">
        <v>13439</v>
      </c>
      <c r="P94" t="s">
        <v>886</v>
      </c>
      <c r="Q94" s="83">
        <v>45616</v>
      </c>
      <c r="R94" s="83">
        <v>45631</v>
      </c>
      <c r="S94" s="83">
        <v>45622</v>
      </c>
      <c r="T94">
        <v>6</v>
      </c>
      <c r="U94" t="s">
        <v>880</v>
      </c>
      <c r="V94" t="s">
        <v>198</v>
      </c>
      <c r="W94" t="s">
        <v>934</v>
      </c>
    </row>
    <row r="95" spans="1:23" x14ac:dyDescent="0.3">
      <c r="A95">
        <v>111</v>
      </c>
      <c r="B95" t="s">
        <v>43</v>
      </c>
      <c r="C95" t="s">
        <v>42</v>
      </c>
      <c r="D95" t="s">
        <v>894</v>
      </c>
      <c r="E95" t="s">
        <v>901</v>
      </c>
      <c r="F95" t="s">
        <v>43</v>
      </c>
      <c r="G95" t="s">
        <v>150</v>
      </c>
      <c r="H95" t="s">
        <v>153</v>
      </c>
      <c r="I95" t="s">
        <v>280</v>
      </c>
      <c r="J95">
        <v>160</v>
      </c>
      <c r="K95" t="s">
        <v>168</v>
      </c>
      <c r="L95" t="s">
        <v>900</v>
      </c>
      <c r="M95" t="s">
        <v>916</v>
      </c>
      <c r="N95">
        <v>1</v>
      </c>
      <c r="O95">
        <v>5100</v>
      </c>
      <c r="P95" t="s">
        <v>85</v>
      </c>
      <c r="Q95" s="83">
        <v>45610</v>
      </c>
      <c r="R95" s="83">
        <v>45634</v>
      </c>
      <c r="S95" s="83"/>
      <c r="U95" t="s">
        <v>879</v>
      </c>
      <c r="V95" t="s">
        <v>879</v>
      </c>
      <c r="W95" t="s">
        <v>935</v>
      </c>
    </row>
    <row r="96" spans="1:23" x14ac:dyDescent="0.3">
      <c r="A96">
        <v>113</v>
      </c>
      <c r="B96" t="s">
        <v>748</v>
      </c>
      <c r="C96" t="s">
        <v>749</v>
      </c>
      <c r="D96" t="s">
        <v>894</v>
      </c>
      <c r="E96" t="s">
        <v>888</v>
      </c>
      <c r="F96" t="s">
        <v>8</v>
      </c>
      <c r="G96" t="s">
        <v>150</v>
      </c>
      <c r="H96" t="s">
        <v>153</v>
      </c>
      <c r="I96" t="s">
        <v>156</v>
      </c>
      <c r="J96">
        <v>120</v>
      </c>
      <c r="K96" t="s">
        <v>172</v>
      </c>
      <c r="L96" t="s">
        <v>900</v>
      </c>
      <c r="M96" t="s">
        <v>917</v>
      </c>
      <c r="N96">
        <v>1</v>
      </c>
      <c r="O96">
        <v>10885</v>
      </c>
      <c r="P96" t="s">
        <v>886</v>
      </c>
      <c r="Q96" s="83">
        <v>45620</v>
      </c>
      <c r="R96" s="83">
        <v>45631</v>
      </c>
      <c r="S96" s="83">
        <v>45636</v>
      </c>
      <c r="T96">
        <v>16</v>
      </c>
      <c r="U96" t="s">
        <v>880</v>
      </c>
      <c r="V96" t="s">
        <v>198</v>
      </c>
      <c r="W96" t="s">
        <v>936</v>
      </c>
    </row>
    <row r="97" spans="1:23" x14ac:dyDescent="0.3">
      <c r="A97">
        <v>114</v>
      </c>
      <c r="B97" t="s">
        <v>43</v>
      </c>
      <c r="C97" t="s">
        <v>42</v>
      </c>
      <c r="D97" t="s">
        <v>894</v>
      </c>
      <c r="E97" t="s">
        <v>888</v>
      </c>
      <c r="F97" t="s">
        <v>43</v>
      </c>
      <c r="G97" t="s">
        <v>161</v>
      </c>
      <c r="H97" t="s">
        <v>288</v>
      </c>
      <c r="I97" t="s">
        <v>288</v>
      </c>
      <c r="J97">
        <v>0</v>
      </c>
      <c r="K97" t="s">
        <v>900</v>
      </c>
      <c r="L97" t="s">
        <v>900</v>
      </c>
      <c r="M97" t="s">
        <v>918</v>
      </c>
      <c r="N97">
        <v>1</v>
      </c>
      <c r="O97">
        <v>6000</v>
      </c>
      <c r="P97" t="s">
        <v>886</v>
      </c>
      <c r="Q97" s="83">
        <v>45615</v>
      </c>
      <c r="R97" s="83">
        <v>45631</v>
      </c>
      <c r="S97" s="83">
        <v>45616</v>
      </c>
      <c r="T97">
        <v>1</v>
      </c>
      <c r="U97" t="s">
        <v>882</v>
      </c>
      <c r="V97" t="s">
        <v>198</v>
      </c>
      <c r="W97" t="s">
        <v>934</v>
      </c>
    </row>
    <row r="98" spans="1:23" x14ac:dyDescent="0.3">
      <c r="A98">
        <v>115</v>
      </c>
      <c r="B98" t="s">
        <v>290</v>
      </c>
      <c r="C98" t="s">
        <v>758</v>
      </c>
      <c r="D98" t="s">
        <v>891</v>
      </c>
      <c r="E98" t="s">
        <v>888</v>
      </c>
      <c r="F98" t="s">
        <v>8</v>
      </c>
      <c r="G98" t="s">
        <v>292</v>
      </c>
      <c r="I98" t="s">
        <v>293</v>
      </c>
      <c r="J98">
        <v>0</v>
      </c>
      <c r="K98" t="s">
        <v>900</v>
      </c>
      <c r="L98" t="s">
        <v>900</v>
      </c>
      <c r="M98" t="s">
        <v>292</v>
      </c>
      <c r="N98">
        <v>1</v>
      </c>
      <c r="O98">
        <v>8449</v>
      </c>
      <c r="P98" t="s">
        <v>16</v>
      </c>
      <c r="Q98" s="83">
        <v>45623</v>
      </c>
      <c r="R98" s="83">
        <v>45636</v>
      </c>
      <c r="S98" s="83">
        <v>45649</v>
      </c>
      <c r="T98">
        <v>26</v>
      </c>
      <c r="U98" t="s">
        <v>878</v>
      </c>
      <c r="V98" t="s">
        <v>198</v>
      </c>
      <c r="W98" t="s">
        <v>936</v>
      </c>
    </row>
    <row r="99" spans="1:23" x14ac:dyDescent="0.3">
      <c r="A99">
        <v>117</v>
      </c>
      <c r="B99" t="s">
        <v>298</v>
      </c>
      <c r="C99" t="s">
        <v>299</v>
      </c>
      <c r="D99" t="s">
        <v>891</v>
      </c>
      <c r="E99" t="s">
        <v>888</v>
      </c>
      <c r="F99" t="s">
        <v>8</v>
      </c>
      <c r="G99" t="s">
        <v>150</v>
      </c>
      <c r="H99" t="s">
        <v>165</v>
      </c>
      <c r="I99" t="s">
        <v>155</v>
      </c>
      <c r="J99">
        <v>100</v>
      </c>
      <c r="K99" t="s">
        <v>168</v>
      </c>
      <c r="L99" t="s">
        <v>900</v>
      </c>
      <c r="M99" t="s">
        <v>907</v>
      </c>
      <c r="N99">
        <v>1</v>
      </c>
      <c r="O99">
        <v>14905</v>
      </c>
      <c r="P99" t="s">
        <v>16</v>
      </c>
      <c r="Q99" s="83">
        <v>45625</v>
      </c>
      <c r="R99" s="83">
        <v>45641</v>
      </c>
      <c r="S99" s="83"/>
      <c r="U99" t="s">
        <v>879</v>
      </c>
      <c r="V99" t="s">
        <v>879</v>
      </c>
      <c r="W99" t="s">
        <v>935</v>
      </c>
    </row>
    <row r="100" spans="1:23" x14ac:dyDescent="0.3">
      <c r="A100">
        <v>121</v>
      </c>
      <c r="B100" t="s">
        <v>309</v>
      </c>
      <c r="C100" t="s">
        <v>310</v>
      </c>
      <c r="D100" t="s">
        <v>894</v>
      </c>
      <c r="E100" t="s">
        <v>888</v>
      </c>
      <c r="F100" t="s">
        <v>8</v>
      </c>
      <c r="G100" t="s">
        <v>150</v>
      </c>
      <c r="H100" t="s">
        <v>165</v>
      </c>
      <c r="I100" t="s">
        <v>152</v>
      </c>
      <c r="J100">
        <v>80</v>
      </c>
      <c r="K100" t="s">
        <v>167</v>
      </c>
      <c r="L100" t="s">
        <v>900</v>
      </c>
      <c r="M100" t="s">
        <v>902</v>
      </c>
      <c r="N100">
        <v>1</v>
      </c>
      <c r="O100">
        <v>12099</v>
      </c>
      <c r="P100" t="s">
        <v>16</v>
      </c>
      <c r="Q100" s="83">
        <v>45628</v>
      </c>
      <c r="R100" s="83">
        <v>45643</v>
      </c>
      <c r="S100" s="83"/>
      <c r="U100" t="s">
        <v>879</v>
      </c>
      <c r="V100" t="s">
        <v>879</v>
      </c>
      <c r="W100" t="s">
        <v>935</v>
      </c>
    </row>
    <row r="101" spans="1:23" x14ac:dyDescent="0.3">
      <c r="A101">
        <v>122</v>
      </c>
      <c r="B101" t="s">
        <v>83</v>
      </c>
      <c r="C101" t="s">
        <v>619</v>
      </c>
      <c r="D101" t="s">
        <v>895</v>
      </c>
      <c r="E101" t="s">
        <v>901</v>
      </c>
      <c r="F101" t="s">
        <v>406</v>
      </c>
      <c r="G101" t="s">
        <v>150</v>
      </c>
      <c r="H101" t="s">
        <v>165</v>
      </c>
      <c r="I101" t="s">
        <v>155</v>
      </c>
      <c r="J101">
        <v>90</v>
      </c>
      <c r="K101" t="s">
        <v>170</v>
      </c>
      <c r="L101" t="s">
        <v>900</v>
      </c>
      <c r="M101" t="s">
        <v>919</v>
      </c>
      <c r="N101">
        <v>1</v>
      </c>
      <c r="O101">
        <v>5217</v>
      </c>
      <c r="P101" t="s">
        <v>85</v>
      </c>
      <c r="Q101" s="83">
        <v>45627</v>
      </c>
      <c r="R101" s="83">
        <v>45640</v>
      </c>
      <c r="S101" s="83">
        <v>45636</v>
      </c>
      <c r="T101">
        <v>9</v>
      </c>
      <c r="U101" t="s">
        <v>880</v>
      </c>
      <c r="V101" t="s">
        <v>198</v>
      </c>
      <c r="W101" t="s">
        <v>934</v>
      </c>
    </row>
    <row r="102" spans="1:23" x14ac:dyDescent="0.3">
      <c r="A102">
        <v>124</v>
      </c>
      <c r="B102" t="s">
        <v>313</v>
      </c>
      <c r="C102" t="s">
        <v>774</v>
      </c>
      <c r="D102" t="s">
        <v>894</v>
      </c>
      <c r="E102" t="s">
        <v>888</v>
      </c>
      <c r="F102" t="s">
        <v>52</v>
      </c>
      <c r="G102" t="s">
        <v>150</v>
      </c>
      <c r="H102" t="s">
        <v>165</v>
      </c>
      <c r="I102" t="s">
        <v>154</v>
      </c>
      <c r="J102">
        <v>0</v>
      </c>
      <c r="K102" t="s">
        <v>168</v>
      </c>
      <c r="L102" t="s">
        <v>900</v>
      </c>
      <c r="M102" t="s">
        <v>920</v>
      </c>
      <c r="N102">
        <v>1</v>
      </c>
      <c r="O102">
        <v>10445</v>
      </c>
      <c r="P102" t="s">
        <v>886</v>
      </c>
      <c r="Q102" s="83">
        <v>45635</v>
      </c>
      <c r="R102" s="83">
        <v>45657</v>
      </c>
      <c r="S102" s="83">
        <v>45638</v>
      </c>
      <c r="T102">
        <v>3</v>
      </c>
      <c r="U102" t="s">
        <v>880</v>
      </c>
      <c r="V102" t="s">
        <v>198</v>
      </c>
      <c r="W102" t="s">
        <v>934</v>
      </c>
    </row>
    <row r="103" spans="1:23" x14ac:dyDescent="0.3">
      <c r="A103">
        <v>126</v>
      </c>
      <c r="B103" t="s">
        <v>317</v>
      </c>
      <c r="C103" t="s">
        <v>278</v>
      </c>
      <c r="D103" t="s">
        <v>890</v>
      </c>
      <c r="E103" t="s">
        <v>888</v>
      </c>
      <c r="F103" t="s">
        <v>8</v>
      </c>
      <c r="G103" t="s">
        <v>150</v>
      </c>
      <c r="H103" t="s">
        <v>165</v>
      </c>
      <c r="I103" t="s">
        <v>152</v>
      </c>
      <c r="J103">
        <v>80</v>
      </c>
      <c r="K103" t="s">
        <v>168</v>
      </c>
      <c r="L103" t="s">
        <v>900</v>
      </c>
      <c r="M103" t="s">
        <v>921</v>
      </c>
      <c r="N103">
        <v>1</v>
      </c>
      <c r="O103">
        <v>13099</v>
      </c>
      <c r="P103" t="s">
        <v>886</v>
      </c>
      <c r="Q103" s="83">
        <v>45638</v>
      </c>
      <c r="R103" s="83">
        <v>45654</v>
      </c>
      <c r="S103" s="83">
        <v>45655</v>
      </c>
      <c r="T103">
        <v>17</v>
      </c>
      <c r="U103" t="s">
        <v>880</v>
      </c>
      <c r="V103" t="s">
        <v>198</v>
      </c>
      <c r="W103" t="s">
        <v>936</v>
      </c>
    </row>
    <row r="104" spans="1:23" x14ac:dyDescent="0.3">
      <c r="A104">
        <v>38</v>
      </c>
      <c r="B104" t="s">
        <v>99</v>
      </c>
      <c r="C104" t="s">
        <v>67</v>
      </c>
      <c r="D104" t="s">
        <v>894</v>
      </c>
      <c r="E104" t="s">
        <v>888</v>
      </c>
      <c r="F104" t="s">
        <v>8</v>
      </c>
      <c r="G104" t="s">
        <v>150</v>
      </c>
      <c r="H104" t="s">
        <v>153</v>
      </c>
      <c r="I104" t="s">
        <v>178</v>
      </c>
      <c r="J104">
        <v>140</v>
      </c>
      <c r="K104" t="s">
        <v>172</v>
      </c>
      <c r="L104" t="s">
        <v>172</v>
      </c>
      <c r="M104" t="s">
        <v>796</v>
      </c>
      <c r="N104">
        <v>1</v>
      </c>
      <c r="O104">
        <v>9528</v>
      </c>
      <c r="P104" t="s">
        <v>16</v>
      </c>
      <c r="Q104" s="83">
        <v>45548</v>
      </c>
      <c r="R104" s="83">
        <v>45561</v>
      </c>
      <c r="S104" s="83">
        <v>45568</v>
      </c>
      <c r="T104">
        <v>20</v>
      </c>
      <c r="U104" t="s">
        <v>880</v>
      </c>
      <c r="V104" t="s">
        <v>198</v>
      </c>
      <c r="W104" t="s">
        <v>936</v>
      </c>
    </row>
    <row r="105" spans="1:23" x14ac:dyDescent="0.3">
      <c r="A105">
        <v>52</v>
      </c>
      <c r="B105" t="s">
        <v>119</v>
      </c>
      <c r="C105" t="s">
        <v>278</v>
      </c>
      <c r="D105" t="s">
        <v>890</v>
      </c>
      <c r="E105" t="s">
        <v>888</v>
      </c>
      <c r="F105" t="s">
        <v>8</v>
      </c>
      <c r="G105" t="s">
        <v>150</v>
      </c>
      <c r="H105" t="s">
        <v>151</v>
      </c>
      <c r="J105">
        <v>0</v>
      </c>
      <c r="K105" t="s">
        <v>168</v>
      </c>
      <c r="L105" t="s">
        <v>168</v>
      </c>
      <c r="M105" t="s">
        <v>807</v>
      </c>
      <c r="N105">
        <v>1</v>
      </c>
      <c r="O105">
        <v>9399</v>
      </c>
      <c r="P105" t="s">
        <v>16</v>
      </c>
      <c r="Q105" s="83">
        <v>45549</v>
      </c>
      <c r="R105" s="83">
        <v>45594</v>
      </c>
      <c r="S105" s="83">
        <v>45580</v>
      </c>
      <c r="T105">
        <v>31</v>
      </c>
      <c r="U105" t="s">
        <v>880</v>
      </c>
      <c r="V105" t="s">
        <v>198</v>
      </c>
      <c r="W105" t="s">
        <v>934</v>
      </c>
    </row>
    <row r="106" spans="1:23" x14ac:dyDescent="0.3">
      <c r="A106">
        <v>61</v>
      </c>
      <c r="B106" t="s">
        <v>116</v>
      </c>
      <c r="C106" t="s">
        <v>117</v>
      </c>
      <c r="D106" t="s">
        <v>893</v>
      </c>
      <c r="E106" t="s">
        <v>888</v>
      </c>
      <c r="F106" t="s">
        <v>8</v>
      </c>
      <c r="G106" t="s">
        <v>161</v>
      </c>
      <c r="H106" t="s">
        <v>164</v>
      </c>
      <c r="J106">
        <v>120</v>
      </c>
      <c r="K106" t="s">
        <v>168</v>
      </c>
      <c r="L106" t="s">
        <v>172</v>
      </c>
      <c r="M106" t="s">
        <v>802</v>
      </c>
      <c r="N106">
        <v>1</v>
      </c>
      <c r="O106">
        <v>21999</v>
      </c>
      <c r="P106" t="s">
        <v>16</v>
      </c>
      <c r="Q106" s="83">
        <v>45549</v>
      </c>
      <c r="R106" s="83">
        <v>45616</v>
      </c>
      <c r="S106" s="83"/>
      <c r="U106" t="s">
        <v>879</v>
      </c>
      <c r="V106" t="s">
        <v>879</v>
      </c>
      <c r="W106" t="s">
        <v>935</v>
      </c>
    </row>
    <row r="107" spans="1:23" x14ac:dyDescent="0.3">
      <c r="A107">
        <v>63</v>
      </c>
      <c r="B107" t="s">
        <v>133</v>
      </c>
      <c r="C107" t="s">
        <v>67</v>
      </c>
      <c r="D107" t="s">
        <v>894</v>
      </c>
      <c r="E107" t="s">
        <v>888</v>
      </c>
      <c r="F107" t="s">
        <v>8</v>
      </c>
      <c r="G107" t="s">
        <v>161</v>
      </c>
      <c r="H107" t="s">
        <v>164</v>
      </c>
      <c r="J107">
        <v>120</v>
      </c>
      <c r="K107" t="s">
        <v>168</v>
      </c>
      <c r="L107" t="s">
        <v>172</v>
      </c>
      <c r="M107" t="s">
        <v>802</v>
      </c>
      <c r="N107">
        <v>1</v>
      </c>
      <c r="O107">
        <v>21999</v>
      </c>
      <c r="P107" t="s">
        <v>16</v>
      </c>
      <c r="Q107" s="83">
        <v>45549</v>
      </c>
      <c r="R107" s="83">
        <v>45616</v>
      </c>
      <c r="S107" s="83">
        <v>45574</v>
      </c>
      <c r="T107">
        <v>25</v>
      </c>
      <c r="U107" t="s">
        <v>880</v>
      </c>
      <c r="V107" t="s">
        <v>198</v>
      </c>
      <c r="W107" t="s">
        <v>934</v>
      </c>
    </row>
    <row r="108" spans="1:23" x14ac:dyDescent="0.3">
      <c r="A108">
        <v>67</v>
      </c>
      <c r="B108" t="s">
        <v>185</v>
      </c>
      <c r="C108" t="s">
        <v>186</v>
      </c>
      <c r="D108" t="s">
        <v>894</v>
      </c>
      <c r="E108" t="s">
        <v>888</v>
      </c>
      <c r="F108" t="s">
        <v>8</v>
      </c>
      <c r="G108" t="s">
        <v>161</v>
      </c>
      <c r="H108" t="s">
        <v>164</v>
      </c>
      <c r="J108">
        <v>120</v>
      </c>
      <c r="K108" t="s">
        <v>168</v>
      </c>
      <c r="L108" t="s">
        <v>172</v>
      </c>
      <c r="M108" t="s">
        <v>911</v>
      </c>
      <c r="N108">
        <v>1</v>
      </c>
      <c r="O108">
        <v>21999</v>
      </c>
      <c r="P108" t="s">
        <v>16</v>
      </c>
      <c r="Q108" s="83">
        <v>45550</v>
      </c>
      <c r="R108" s="83">
        <v>45616</v>
      </c>
      <c r="S108" s="83">
        <v>45584</v>
      </c>
      <c r="T108">
        <v>34</v>
      </c>
      <c r="U108" t="s">
        <v>880</v>
      </c>
      <c r="V108" t="s">
        <v>198</v>
      </c>
      <c r="W108" t="s">
        <v>934</v>
      </c>
    </row>
    <row r="109" spans="1:23" x14ac:dyDescent="0.3">
      <c r="A109">
        <v>74</v>
      </c>
      <c r="B109" t="s">
        <v>52</v>
      </c>
      <c r="C109" t="s">
        <v>230</v>
      </c>
      <c r="D109" t="s">
        <v>894</v>
      </c>
      <c r="E109" t="s">
        <v>901</v>
      </c>
      <c r="F109" t="s">
        <v>52</v>
      </c>
      <c r="G109" t="s">
        <v>161</v>
      </c>
      <c r="H109" t="s">
        <v>164</v>
      </c>
      <c r="J109">
        <v>120</v>
      </c>
      <c r="K109" t="s">
        <v>900</v>
      </c>
      <c r="L109" t="s">
        <v>819</v>
      </c>
      <c r="M109" t="s">
        <v>922</v>
      </c>
      <c r="N109">
        <v>1</v>
      </c>
      <c r="O109">
        <v>14950</v>
      </c>
      <c r="P109" t="s">
        <v>16</v>
      </c>
      <c r="Q109" s="83">
        <v>45561</v>
      </c>
      <c r="R109" s="83">
        <v>45579</v>
      </c>
      <c r="S109" s="83">
        <v>45578</v>
      </c>
      <c r="T109">
        <v>17</v>
      </c>
      <c r="U109" t="s">
        <v>880</v>
      </c>
      <c r="V109" t="s">
        <v>198</v>
      </c>
      <c r="W109" t="s">
        <v>934</v>
      </c>
    </row>
    <row r="110" spans="1:23" x14ac:dyDescent="0.3">
      <c r="A110">
        <v>79</v>
      </c>
      <c r="B110" t="s">
        <v>210</v>
      </c>
      <c r="C110" t="s">
        <v>212</v>
      </c>
      <c r="D110" t="s">
        <v>212</v>
      </c>
      <c r="E110" t="s">
        <v>888</v>
      </c>
      <c r="F110" t="s">
        <v>212</v>
      </c>
      <c r="G110" t="s">
        <v>150</v>
      </c>
      <c r="H110" t="s">
        <v>151</v>
      </c>
      <c r="J110">
        <v>0</v>
      </c>
      <c r="K110" t="s">
        <v>217</v>
      </c>
      <c r="L110" t="s">
        <v>218</v>
      </c>
      <c r="M110" t="s">
        <v>923</v>
      </c>
      <c r="N110">
        <v>1</v>
      </c>
      <c r="O110">
        <v>4600</v>
      </c>
      <c r="P110" t="s">
        <v>886</v>
      </c>
      <c r="Q110" s="83">
        <v>45566</v>
      </c>
      <c r="R110" s="83">
        <v>45574</v>
      </c>
      <c r="S110" s="83">
        <v>45574</v>
      </c>
      <c r="T110">
        <v>8</v>
      </c>
      <c r="U110" t="s">
        <v>881</v>
      </c>
      <c r="V110" t="s">
        <v>198</v>
      </c>
      <c r="W110" t="s">
        <v>934</v>
      </c>
    </row>
    <row r="111" spans="1:23" x14ac:dyDescent="0.3">
      <c r="A111">
        <v>80</v>
      </c>
      <c r="B111" t="s">
        <v>210</v>
      </c>
      <c r="C111" t="s">
        <v>212</v>
      </c>
      <c r="D111" t="s">
        <v>212</v>
      </c>
      <c r="E111" t="s">
        <v>888</v>
      </c>
      <c r="F111" t="s">
        <v>212</v>
      </c>
      <c r="G111" t="s">
        <v>161</v>
      </c>
      <c r="H111" t="s">
        <v>215</v>
      </c>
      <c r="J111">
        <v>0</v>
      </c>
      <c r="K111" t="s">
        <v>168</v>
      </c>
      <c r="L111" t="s">
        <v>216</v>
      </c>
      <c r="M111" t="s">
        <v>924</v>
      </c>
      <c r="N111">
        <v>1</v>
      </c>
      <c r="O111">
        <v>10000</v>
      </c>
      <c r="P111" t="s">
        <v>886</v>
      </c>
      <c r="Q111" s="83">
        <v>45566</v>
      </c>
      <c r="R111" s="83">
        <v>45574</v>
      </c>
      <c r="S111" s="83">
        <v>45574</v>
      </c>
      <c r="T111">
        <v>8</v>
      </c>
      <c r="U111" t="s">
        <v>881</v>
      </c>
      <c r="V111" t="s">
        <v>198</v>
      </c>
      <c r="W111" t="s">
        <v>934</v>
      </c>
    </row>
    <row r="112" spans="1:23" x14ac:dyDescent="0.3">
      <c r="A112">
        <v>81</v>
      </c>
      <c r="B112" t="s">
        <v>210</v>
      </c>
      <c r="C112" t="s">
        <v>212</v>
      </c>
      <c r="D112" t="s">
        <v>212</v>
      </c>
      <c r="E112" t="s">
        <v>888</v>
      </c>
      <c r="F112" t="s">
        <v>212</v>
      </c>
      <c r="G112" t="s">
        <v>219</v>
      </c>
      <c r="J112">
        <v>0</v>
      </c>
      <c r="K112" t="s">
        <v>168</v>
      </c>
      <c r="L112" t="s">
        <v>819</v>
      </c>
      <c r="M112" t="s">
        <v>925</v>
      </c>
      <c r="N112">
        <v>1</v>
      </c>
      <c r="O112">
        <v>10192</v>
      </c>
      <c r="P112" t="s">
        <v>886</v>
      </c>
      <c r="Q112" s="83">
        <v>45566</v>
      </c>
      <c r="R112" s="83">
        <v>45574</v>
      </c>
      <c r="S112" s="83">
        <v>45574</v>
      </c>
      <c r="T112">
        <v>8</v>
      </c>
      <c r="U112" t="s">
        <v>881</v>
      </c>
      <c r="V112" t="s">
        <v>198</v>
      </c>
      <c r="W112" t="s">
        <v>934</v>
      </c>
    </row>
    <row r="113" spans="1:23" x14ac:dyDescent="0.3">
      <c r="A113">
        <v>82</v>
      </c>
      <c r="B113" t="s">
        <v>221</v>
      </c>
      <c r="C113" t="s">
        <v>222</v>
      </c>
      <c r="D113" t="s">
        <v>894</v>
      </c>
      <c r="E113" t="s">
        <v>888</v>
      </c>
      <c r="F113" t="s">
        <v>8</v>
      </c>
      <c r="G113" t="s">
        <v>150</v>
      </c>
      <c r="H113" t="s">
        <v>151</v>
      </c>
      <c r="J113">
        <v>0</v>
      </c>
      <c r="K113" t="s">
        <v>168</v>
      </c>
      <c r="L113" t="s">
        <v>168</v>
      </c>
      <c r="M113" t="s">
        <v>926</v>
      </c>
      <c r="N113">
        <v>1</v>
      </c>
      <c r="O113">
        <v>8899</v>
      </c>
      <c r="P113" t="s">
        <v>886</v>
      </c>
      <c r="Q113" s="83">
        <v>45568</v>
      </c>
      <c r="R113" s="83">
        <v>45613</v>
      </c>
      <c r="S113" s="83"/>
      <c r="U113" t="s">
        <v>879</v>
      </c>
      <c r="V113" t="s">
        <v>879</v>
      </c>
      <c r="W113" t="s">
        <v>935</v>
      </c>
    </row>
    <row r="114" spans="1:23" x14ac:dyDescent="0.3">
      <c r="A114">
        <v>83</v>
      </c>
      <c r="B114" t="s">
        <v>52</v>
      </c>
      <c r="C114" t="s">
        <v>224</v>
      </c>
      <c r="D114" t="s">
        <v>894</v>
      </c>
      <c r="E114" t="s">
        <v>901</v>
      </c>
      <c r="F114" t="s">
        <v>52</v>
      </c>
      <c r="G114" t="s">
        <v>161</v>
      </c>
      <c r="H114" t="s">
        <v>164</v>
      </c>
      <c r="J114">
        <v>120</v>
      </c>
      <c r="K114" t="s">
        <v>168</v>
      </c>
      <c r="L114" t="s">
        <v>259</v>
      </c>
      <c r="M114" t="s">
        <v>911</v>
      </c>
      <c r="N114">
        <v>1</v>
      </c>
      <c r="O114">
        <v>14550</v>
      </c>
      <c r="P114" t="s">
        <v>16</v>
      </c>
      <c r="Q114" s="83">
        <v>45573</v>
      </c>
      <c r="R114" s="83">
        <v>45594</v>
      </c>
      <c r="S114" s="83">
        <v>45595</v>
      </c>
      <c r="T114">
        <v>22</v>
      </c>
      <c r="U114" t="s">
        <v>880</v>
      </c>
      <c r="V114" t="s">
        <v>198</v>
      </c>
      <c r="W114" t="s">
        <v>936</v>
      </c>
    </row>
    <row r="115" spans="1:23" x14ac:dyDescent="0.3">
      <c r="A115">
        <v>84</v>
      </c>
      <c r="B115" t="s">
        <v>52</v>
      </c>
      <c r="C115" t="s">
        <v>835</v>
      </c>
      <c r="D115" t="s">
        <v>890</v>
      </c>
      <c r="E115" t="s">
        <v>901</v>
      </c>
      <c r="F115" t="s">
        <v>52</v>
      </c>
      <c r="G115" t="s">
        <v>161</v>
      </c>
      <c r="H115" t="s">
        <v>164</v>
      </c>
      <c r="J115">
        <v>120</v>
      </c>
      <c r="K115" t="s">
        <v>168</v>
      </c>
      <c r="L115" t="s">
        <v>259</v>
      </c>
      <c r="M115" t="s">
        <v>911</v>
      </c>
      <c r="N115">
        <v>1</v>
      </c>
      <c r="O115">
        <v>14550</v>
      </c>
      <c r="P115" t="s">
        <v>16</v>
      </c>
      <c r="Q115" s="83">
        <v>45572</v>
      </c>
      <c r="R115" s="83">
        <v>45594</v>
      </c>
      <c r="S115" s="83">
        <v>45580</v>
      </c>
      <c r="T115">
        <v>8</v>
      </c>
      <c r="U115" t="s">
        <v>880</v>
      </c>
      <c r="V115" t="s">
        <v>198</v>
      </c>
      <c r="W115" t="s">
        <v>934</v>
      </c>
    </row>
    <row r="116" spans="1:23" x14ac:dyDescent="0.3">
      <c r="A116">
        <v>85</v>
      </c>
      <c r="B116" t="s">
        <v>52</v>
      </c>
      <c r="C116" t="s">
        <v>900</v>
      </c>
      <c r="D116" t="s">
        <v>900</v>
      </c>
      <c r="E116" t="s">
        <v>901</v>
      </c>
      <c r="F116" t="s">
        <v>52</v>
      </c>
      <c r="G116" t="s">
        <v>161</v>
      </c>
      <c r="H116" t="s">
        <v>164</v>
      </c>
      <c r="J116">
        <v>120</v>
      </c>
      <c r="K116" t="s">
        <v>168</v>
      </c>
      <c r="L116" t="s">
        <v>819</v>
      </c>
      <c r="M116" t="s">
        <v>911</v>
      </c>
      <c r="N116">
        <v>1</v>
      </c>
      <c r="O116">
        <v>14550</v>
      </c>
      <c r="P116" t="s">
        <v>886</v>
      </c>
      <c r="Q116" s="83">
        <v>45575</v>
      </c>
      <c r="R116" s="83">
        <v>45596</v>
      </c>
      <c r="S116" s="83">
        <v>45598</v>
      </c>
      <c r="T116">
        <v>23</v>
      </c>
      <c r="U116" t="s">
        <v>880</v>
      </c>
      <c r="V116" t="s">
        <v>198</v>
      </c>
      <c r="W116" t="s">
        <v>936</v>
      </c>
    </row>
    <row r="117" spans="1:23" x14ac:dyDescent="0.3">
      <c r="A117">
        <v>90</v>
      </c>
      <c r="B117" t="s">
        <v>240</v>
      </c>
      <c r="C117" t="s">
        <v>242</v>
      </c>
      <c r="D117" t="s">
        <v>894</v>
      </c>
      <c r="E117" t="s">
        <v>888</v>
      </c>
      <c r="F117" t="s">
        <v>263</v>
      </c>
      <c r="G117" t="s">
        <v>150</v>
      </c>
      <c r="H117" t="s">
        <v>153</v>
      </c>
      <c r="I117" t="s">
        <v>244</v>
      </c>
      <c r="J117">
        <v>140</v>
      </c>
      <c r="K117" t="s">
        <v>819</v>
      </c>
      <c r="L117" t="s">
        <v>245</v>
      </c>
      <c r="M117" t="s">
        <v>927</v>
      </c>
      <c r="N117">
        <v>1</v>
      </c>
      <c r="O117">
        <v>5135</v>
      </c>
      <c r="P117" t="s">
        <v>16</v>
      </c>
      <c r="Q117" s="83">
        <v>45585</v>
      </c>
      <c r="R117" s="83">
        <v>45613</v>
      </c>
      <c r="S117" s="83">
        <v>45610</v>
      </c>
      <c r="T117">
        <v>25</v>
      </c>
      <c r="U117" t="s">
        <v>880</v>
      </c>
      <c r="V117" t="s">
        <v>198</v>
      </c>
      <c r="W117" t="s">
        <v>934</v>
      </c>
    </row>
    <row r="118" spans="1:23" x14ac:dyDescent="0.3">
      <c r="A118">
        <v>102</v>
      </c>
      <c r="B118" t="s">
        <v>52</v>
      </c>
      <c r="C118" t="s">
        <v>224</v>
      </c>
      <c r="D118" t="s">
        <v>894</v>
      </c>
      <c r="E118" t="s">
        <v>901</v>
      </c>
      <c r="F118" t="s">
        <v>52</v>
      </c>
      <c r="G118" t="s">
        <v>161</v>
      </c>
      <c r="H118" t="s">
        <v>164</v>
      </c>
      <c r="I118" t="s">
        <v>258</v>
      </c>
      <c r="J118">
        <v>120</v>
      </c>
      <c r="K118" t="s">
        <v>168</v>
      </c>
      <c r="L118" t="s">
        <v>259</v>
      </c>
      <c r="M118" t="s">
        <v>911</v>
      </c>
      <c r="N118">
        <v>1</v>
      </c>
      <c r="O118">
        <v>15872</v>
      </c>
      <c r="P118" t="s">
        <v>260</v>
      </c>
      <c r="Q118" s="83">
        <v>45604</v>
      </c>
      <c r="R118" s="83">
        <v>45629</v>
      </c>
      <c r="S118" s="83">
        <v>45610</v>
      </c>
      <c r="T118">
        <v>6</v>
      </c>
      <c r="U118" t="s">
        <v>880</v>
      </c>
      <c r="V118" t="s">
        <v>198</v>
      </c>
      <c r="W118" t="s">
        <v>934</v>
      </c>
    </row>
    <row r="119" spans="1:23" x14ac:dyDescent="0.3">
      <c r="A119">
        <v>112</v>
      </c>
      <c r="B119" t="s">
        <v>281</v>
      </c>
      <c r="C119" t="s">
        <v>49</v>
      </c>
      <c r="D119" t="s">
        <v>894</v>
      </c>
      <c r="E119" t="s">
        <v>888</v>
      </c>
      <c r="F119" t="s">
        <v>35</v>
      </c>
      <c r="G119" t="s">
        <v>150</v>
      </c>
      <c r="H119" t="s">
        <v>153</v>
      </c>
      <c r="I119" t="s">
        <v>847</v>
      </c>
      <c r="J119">
        <v>160</v>
      </c>
      <c r="K119" t="s">
        <v>176</v>
      </c>
      <c r="L119" t="s">
        <v>167</v>
      </c>
      <c r="M119" t="s">
        <v>928</v>
      </c>
      <c r="N119">
        <v>1</v>
      </c>
      <c r="O119">
        <v>5700</v>
      </c>
      <c r="P119" t="s">
        <v>886</v>
      </c>
      <c r="Q119" s="83">
        <v>45618</v>
      </c>
      <c r="R119" s="83">
        <v>45628</v>
      </c>
      <c r="S119" s="83">
        <v>45623</v>
      </c>
      <c r="T119">
        <v>5</v>
      </c>
      <c r="U119" t="s">
        <v>880</v>
      </c>
      <c r="V119" t="s">
        <v>198</v>
      </c>
      <c r="W119" t="s">
        <v>934</v>
      </c>
    </row>
    <row r="120" spans="1:23" x14ac:dyDescent="0.3">
      <c r="A120">
        <v>116</v>
      </c>
      <c r="B120" t="s">
        <v>294</v>
      </c>
      <c r="C120" t="s">
        <v>415</v>
      </c>
      <c r="D120" t="s">
        <v>894</v>
      </c>
      <c r="E120" t="s">
        <v>888</v>
      </c>
      <c r="F120" t="s">
        <v>8</v>
      </c>
      <c r="G120" t="s">
        <v>292</v>
      </c>
      <c r="H120" t="s">
        <v>165</v>
      </c>
      <c r="I120" t="s">
        <v>296</v>
      </c>
      <c r="J120">
        <v>0</v>
      </c>
      <c r="K120" t="s">
        <v>167</v>
      </c>
      <c r="L120" t="s">
        <v>297</v>
      </c>
      <c r="M120" t="s">
        <v>929</v>
      </c>
      <c r="N120">
        <v>1</v>
      </c>
      <c r="O120">
        <v>10249</v>
      </c>
      <c r="P120" t="s">
        <v>886</v>
      </c>
      <c r="Q120" s="83">
        <v>45623</v>
      </c>
      <c r="R120" s="83">
        <v>45636</v>
      </c>
      <c r="S120" s="83">
        <v>45645</v>
      </c>
      <c r="T120">
        <v>22</v>
      </c>
      <c r="U120" t="s">
        <v>880</v>
      </c>
      <c r="V120" t="s">
        <v>198</v>
      </c>
      <c r="W120" t="s">
        <v>936</v>
      </c>
    </row>
    <row r="121" spans="1:23" x14ac:dyDescent="0.3">
      <c r="A121">
        <v>118</v>
      </c>
      <c r="B121" t="s">
        <v>303</v>
      </c>
      <c r="C121" t="s">
        <v>67</v>
      </c>
      <c r="D121" t="s">
        <v>894</v>
      </c>
      <c r="E121" t="s">
        <v>888</v>
      </c>
      <c r="F121" t="s">
        <v>8</v>
      </c>
      <c r="G121" t="s">
        <v>292</v>
      </c>
      <c r="H121" t="s">
        <v>165</v>
      </c>
      <c r="I121" t="s">
        <v>296</v>
      </c>
      <c r="J121">
        <v>0</v>
      </c>
      <c r="K121" t="s">
        <v>168</v>
      </c>
      <c r="L121" t="s">
        <v>302</v>
      </c>
      <c r="M121" t="s">
        <v>930</v>
      </c>
      <c r="N121">
        <v>1</v>
      </c>
      <c r="O121">
        <v>10249</v>
      </c>
      <c r="P121" t="s">
        <v>16</v>
      </c>
      <c r="Q121" s="83">
        <v>45626</v>
      </c>
      <c r="R121" s="83">
        <v>45638</v>
      </c>
      <c r="S121" s="83"/>
      <c r="U121" t="s">
        <v>879</v>
      </c>
      <c r="V121" t="s">
        <v>879</v>
      </c>
      <c r="W121" t="s">
        <v>935</v>
      </c>
    </row>
    <row r="122" spans="1:23" x14ac:dyDescent="0.3">
      <c r="A122">
        <v>119</v>
      </c>
      <c r="B122" t="s">
        <v>303</v>
      </c>
      <c r="C122" t="s">
        <v>67</v>
      </c>
      <c r="D122" t="s">
        <v>894</v>
      </c>
      <c r="E122" t="s">
        <v>888</v>
      </c>
      <c r="F122" t="s">
        <v>8</v>
      </c>
      <c r="G122" t="s">
        <v>292</v>
      </c>
      <c r="H122" t="s">
        <v>189</v>
      </c>
      <c r="J122">
        <v>0</v>
      </c>
      <c r="K122" t="s">
        <v>168</v>
      </c>
      <c r="L122" t="s">
        <v>302</v>
      </c>
      <c r="M122" t="s">
        <v>931</v>
      </c>
      <c r="N122">
        <v>1</v>
      </c>
      <c r="O122">
        <v>9029</v>
      </c>
      <c r="P122" t="s">
        <v>16</v>
      </c>
      <c r="Q122" s="83">
        <v>45626</v>
      </c>
      <c r="R122" s="83">
        <v>45638</v>
      </c>
      <c r="S122" s="83"/>
      <c r="U122" t="s">
        <v>879</v>
      </c>
      <c r="V122" t="s">
        <v>879</v>
      </c>
      <c r="W122" t="s">
        <v>935</v>
      </c>
    </row>
    <row r="123" spans="1:23" x14ac:dyDescent="0.3">
      <c r="A123">
        <v>120</v>
      </c>
      <c r="B123" t="s">
        <v>306</v>
      </c>
      <c r="C123" t="s">
        <v>144</v>
      </c>
      <c r="D123" t="s">
        <v>212</v>
      </c>
      <c r="E123" t="s">
        <v>888</v>
      </c>
      <c r="F123" t="s">
        <v>8</v>
      </c>
      <c r="G123" t="s">
        <v>292</v>
      </c>
      <c r="H123" t="s">
        <v>307</v>
      </c>
      <c r="J123">
        <v>0</v>
      </c>
      <c r="K123" t="s">
        <v>168</v>
      </c>
      <c r="L123" t="s">
        <v>218</v>
      </c>
      <c r="M123" t="s">
        <v>932</v>
      </c>
      <c r="N123">
        <v>1</v>
      </c>
      <c r="O123">
        <v>9029</v>
      </c>
      <c r="P123" t="s">
        <v>16</v>
      </c>
      <c r="Q123" s="83">
        <v>45626</v>
      </c>
      <c r="R123" s="83">
        <v>45638</v>
      </c>
      <c r="S123" s="83"/>
      <c r="U123" t="s">
        <v>879</v>
      </c>
      <c r="V123" t="s">
        <v>879</v>
      </c>
      <c r="W123" t="s">
        <v>935</v>
      </c>
    </row>
    <row r="124" spans="1:23" x14ac:dyDescent="0.3">
      <c r="A124">
        <v>123</v>
      </c>
      <c r="B124" t="s">
        <v>866</v>
      </c>
      <c r="C124" t="s">
        <v>135</v>
      </c>
      <c r="D124" t="s">
        <v>895</v>
      </c>
      <c r="E124" t="s">
        <v>888</v>
      </c>
      <c r="F124" t="s">
        <v>8</v>
      </c>
      <c r="G124" t="s">
        <v>150</v>
      </c>
      <c r="H124" t="s">
        <v>151</v>
      </c>
      <c r="J124">
        <v>0</v>
      </c>
      <c r="K124" t="s">
        <v>168</v>
      </c>
      <c r="L124" t="s">
        <v>168</v>
      </c>
      <c r="M124" t="s">
        <v>926</v>
      </c>
      <c r="N124">
        <v>1</v>
      </c>
      <c r="O124">
        <v>10249</v>
      </c>
      <c r="P124" t="s">
        <v>886</v>
      </c>
      <c r="Q124" s="83">
        <v>45630</v>
      </c>
      <c r="R124" s="83">
        <v>45640</v>
      </c>
      <c r="S124" s="83">
        <v>45645</v>
      </c>
      <c r="T124">
        <v>15</v>
      </c>
      <c r="U124" t="s">
        <v>880</v>
      </c>
      <c r="V124" t="s">
        <v>198</v>
      </c>
      <c r="W124" t="s">
        <v>936</v>
      </c>
    </row>
    <row r="125" spans="1:23" x14ac:dyDescent="0.3">
      <c r="A125">
        <v>125</v>
      </c>
      <c r="B125" t="s">
        <v>870</v>
      </c>
      <c r="C125" t="s">
        <v>67</v>
      </c>
      <c r="D125" t="s">
        <v>894</v>
      </c>
      <c r="E125" t="s">
        <v>888</v>
      </c>
      <c r="F125" t="s">
        <v>8</v>
      </c>
      <c r="G125" t="s">
        <v>292</v>
      </c>
      <c r="H125" t="s">
        <v>165</v>
      </c>
      <c r="I125" t="s">
        <v>296</v>
      </c>
      <c r="J125">
        <v>0</v>
      </c>
      <c r="K125" t="s">
        <v>168</v>
      </c>
      <c r="L125" t="s">
        <v>302</v>
      </c>
      <c r="M125" t="s">
        <v>930</v>
      </c>
      <c r="N125">
        <v>1</v>
      </c>
      <c r="O125">
        <v>11199</v>
      </c>
      <c r="P125" t="s">
        <v>886</v>
      </c>
      <c r="Q125" s="83">
        <v>45638</v>
      </c>
      <c r="R125" s="83">
        <v>45650</v>
      </c>
      <c r="S125" s="83">
        <v>45645</v>
      </c>
      <c r="T125">
        <v>7</v>
      </c>
      <c r="U125" t="s">
        <v>880</v>
      </c>
      <c r="V125" t="s">
        <v>198</v>
      </c>
      <c r="W125" t="s">
        <v>934</v>
      </c>
    </row>
    <row r="126" spans="1:23" x14ac:dyDescent="0.3">
      <c r="A126">
        <v>127</v>
      </c>
      <c r="B126" t="s">
        <v>52</v>
      </c>
      <c r="C126" t="s">
        <v>224</v>
      </c>
      <c r="D126" t="s">
        <v>894</v>
      </c>
      <c r="E126" t="s">
        <v>901</v>
      </c>
      <c r="F126" t="s">
        <v>52</v>
      </c>
      <c r="G126" t="s">
        <v>161</v>
      </c>
      <c r="H126" t="s">
        <v>164</v>
      </c>
      <c r="I126" t="s">
        <v>258</v>
      </c>
      <c r="J126">
        <v>120</v>
      </c>
      <c r="K126" t="s">
        <v>168</v>
      </c>
      <c r="L126" t="s">
        <v>318</v>
      </c>
      <c r="M126" t="s">
        <v>911</v>
      </c>
      <c r="N126">
        <v>1</v>
      </c>
      <c r="O126">
        <v>8700</v>
      </c>
      <c r="P126" t="s">
        <v>85</v>
      </c>
      <c r="Q126" s="83">
        <v>45640</v>
      </c>
      <c r="R126" s="83">
        <v>45662</v>
      </c>
      <c r="S126" s="83">
        <v>45655</v>
      </c>
      <c r="T126">
        <v>15</v>
      </c>
      <c r="U126" t="s">
        <v>880</v>
      </c>
      <c r="V126" t="s">
        <v>198</v>
      </c>
      <c r="W126" t="s">
        <v>934</v>
      </c>
    </row>
  </sheetData>
  <sheetProtection algorithmName="SHA-512" hashValue="Iy9ON0iy6l/vgn0ypHjUXrI6EZlOWWeZogOyWQBv4rpKsMW3yQAdbvrBh1aGFspiDREcYWT0OgoF9AIM38c/QA==" saltValue="IDywyx5EzPgIrtpVgfv98w==" spinCount="100000" sheet="1" formatCells="0" formatColumns="0" formatRows="0" insertColumns="0" insertRows="0" insertHyperlinks="0" deleteColumns="0" deleteRows="0" sort="0" autoFilter="0" pivotTables="0"/>
  <phoneticPr fontId="17"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D84A0-116B-4397-ADA0-C9E572202C62}">
  <sheetPr codeName="Sheet4"/>
  <dimension ref="A1:B46"/>
  <sheetViews>
    <sheetView workbookViewId="0">
      <selection activeCell="E26" sqref="E26"/>
    </sheetView>
  </sheetViews>
  <sheetFormatPr defaultRowHeight="14.4" x14ac:dyDescent="0.3"/>
  <cols>
    <col min="1" max="1" width="30" bestFit="1" customWidth="1"/>
    <col min="2" max="2" width="9.21875" bestFit="1" customWidth="1"/>
  </cols>
  <sheetData>
    <row r="1" spans="1:2" x14ac:dyDescent="0.3">
      <c r="A1" t="s">
        <v>1</v>
      </c>
      <c r="B1" t="s">
        <v>889</v>
      </c>
    </row>
    <row r="2" spans="1:2" x14ac:dyDescent="0.3">
      <c r="A2" t="s">
        <v>14</v>
      </c>
      <c r="B2" t="s">
        <v>890</v>
      </c>
    </row>
    <row r="3" spans="1:2" x14ac:dyDescent="0.3">
      <c r="A3" t="s">
        <v>19</v>
      </c>
      <c r="B3" t="s">
        <v>891</v>
      </c>
    </row>
    <row r="4" spans="1:2" x14ac:dyDescent="0.3">
      <c r="A4" t="s">
        <v>336</v>
      </c>
      <c r="B4" t="s">
        <v>892</v>
      </c>
    </row>
    <row r="5" spans="1:2" x14ac:dyDescent="0.3">
      <c r="A5" t="s">
        <v>117</v>
      </c>
      <c r="B5" t="s">
        <v>893</v>
      </c>
    </row>
    <row r="6" spans="1:2" x14ac:dyDescent="0.3">
      <c r="A6" t="s">
        <v>34</v>
      </c>
      <c r="B6" t="s">
        <v>894</v>
      </c>
    </row>
    <row r="7" spans="1:2" x14ac:dyDescent="0.3">
      <c r="A7" t="s">
        <v>278</v>
      </c>
      <c r="B7" t="s">
        <v>890</v>
      </c>
    </row>
    <row r="8" spans="1:2" x14ac:dyDescent="0.3">
      <c r="A8" t="s">
        <v>42</v>
      </c>
      <c r="B8" t="s">
        <v>894</v>
      </c>
    </row>
    <row r="9" spans="1:2" x14ac:dyDescent="0.3">
      <c r="A9" t="s">
        <v>49</v>
      </c>
      <c r="B9" t="s">
        <v>894</v>
      </c>
    </row>
    <row r="10" spans="1:2" x14ac:dyDescent="0.3">
      <c r="A10" t="s">
        <v>400</v>
      </c>
      <c r="B10" t="s">
        <v>894</v>
      </c>
    </row>
    <row r="11" spans="1:2" x14ac:dyDescent="0.3">
      <c r="A11" t="s">
        <v>415</v>
      </c>
      <c r="B11" t="s">
        <v>894</v>
      </c>
    </row>
    <row r="12" spans="1:2" x14ac:dyDescent="0.3">
      <c r="A12" t="s">
        <v>67</v>
      </c>
      <c r="B12" t="s">
        <v>894</v>
      </c>
    </row>
    <row r="13" spans="1:2" x14ac:dyDescent="0.3">
      <c r="A13" t="s">
        <v>107</v>
      </c>
      <c r="B13" t="s">
        <v>894</v>
      </c>
    </row>
    <row r="14" spans="1:2" x14ac:dyDescent="0.3">
      <c r="A14" t="s">
        <v>452</v>
      </c>
      <c r="B14" t="s">
        <v>895</v>
      </c>
    </row>
    <row r="15" spans="1:2" x14ac:dyDescent="0.3">
      <c r="A15" t="s">
        <v>462</v>
      </c>
      <c r="B15" t="s">
        <v>891</v>
      </c>
    </row>
    <row r="16" spans="1:2" x14ac:dyDescent="0.3">
      <c r="A16" t="s">
        <v>473</v>
      </c>
      <c r="B16" t="s">
        <v>890</v>
      </c>
    </row>
    <row r="17" spans="1:2" x14ac:dyDescent="0.3">
      <c r="A17" t="s">
        <v>494</v>
      </c>
      <c r="B17" t="s">
        <v>894</v>
      </c>
    </row>
    <row r="18" spans="1:2" x14ac:dyDescent="0.3">
      <c r="A18" t="s">
        <v>502</v>
      </c>
      <c r="B18" t="s">
        <v>890</v>
      </c>
    </row>
    <row r="19" spans="1:2" x14ac:dyDescent="0.3">
      <c r="A19" t="s">
        <v>88</v>
      </c>
      <c r="B19" t="s">
        <v>894</v>
      </c>
    </row>
    <row r="20" spans="1:2" x14ac:dyDescent="0.3">
      <c r="A20" t="s">
        <v>524</v>
      </c>
      <c r="B20" t="s">
        <v>212</v>
      </c>
    </row>
    <row r="21" spans="1:2" x14ac:dyDescent="0.3">
      <c r="A21" t="s">
        <v>139</v>
      </c>
      <c r="B21" t="s">
        <v>890</v>
      </c>
    </row>
    <row r="22" spans="1:2" x14ac:dyDescent="0.3">
      <c r="A22" t="s">
        <v>561</v>
      </c>
      <c r="B22" t="s">
        <v>890</v>
      </c>
    </row>
    <row r="23" spans="1:2" x14ac:dyDescent="0.3">
      <c r="A23" t="s">
        <v>129</v>
      </c>
      <c r="B23" t="s">
        <v>894</v>
      </c>
    </row>
    <row r="24" spans="1:2" x14ac:dyDescent="0.3">
      <c r="A24" t="s">
        <v>135</v>
      </c>
      <c r="B24" t="s">
        <v>895</v>
      </c>
    </row>
    <row r="25" spans="1:2" x14ac:dyDescent="0.3">
      <c r="A25" t="s">
        <v>592</v>
      </c>
      <c r="B25" t="s">
        <v>896</v>
      </c>
    </row>
    <row r="26" spans="1:2" x14ac:dyDescent="0.3">
      <c r="A26" t="s">
        <v>184</v>
      </c>
      <c r="B26" t="s">
        <v>894</v>
      </c>
    </row>
    <row r="27" spans="1:2" x14ac:dyDescent="0.3">
      <c r="A27" t="s">
        <v>144</v>
      </c>
      <c r="B27" t="s">
        <v>212</v>
      </c>
    </row>
    <row r="28" spans="1:2" x14ac:dyDescent="0.3">
      <c r="A28" t="s">
        <v>619</v>
      </c>
      <c r="B28" t="s">
        <v>895</v>
      </c>
    </row>
    <row r="29" spans="1:2" x14ac:dyDescent="0.3">
      <c r="A29" t="s">
        <v>204</v>
      </c>
      <c r="B29" t="s">
        <v>890</v>
      </c>
    </row>
    <row r="30" spans="1:2" x14ac:dyDescent="0.3">
      <c r="A30" t="s">
        <v>212</v>
      </c>
      <c r="B30" t="s">
        <v>212</v>
      </c>
    </row>
    <row r="31" spans="1:2" x14ac:dyDescent="0.3">
      <c r="A31" t="s">
        <v>238</v>
      </c>
      <c r="B31" t="s">
        <v>891</v>
      </c>
    </row>
    <row r="32" spans="1:2" x14ac:dyDescent="0.3">
      <c r="A32" t="s">
        <v>248</v>
      </c>
      <c r="B32" t="s">
        <v>894</v>
      </c>
    </row>
    <row r="33" spans="1:2" x14ac:dyDescent="0.3">
      <c r="A33" t="s">
        <v>252</v>
      </c>
      <c r="B33" t="s">
        <v>890</v>
      </c>
    </row>
    <row r="34" spans="1:2" x14ac:dyDescent="0.3">
      <c r="A34" t="s">
        <v>264</v>
      </c>
      <c r="B34" t="s">
        <v>894</v>
      </c>
    </row>
    <row r="35" spans="1:2" x14ac:dyDescent="0.3">
      <c r="A35" t="s">
        <v>272</v>
      </c>
      <c r="B35" t="s">
        <v>897</v>
      </c>
    </row>
    <row r="36" spans="1:2" x14ac:dyDescent="0.3">
      <c r="A36" t="s">
        <v>749</v>
      </c>
      <c r="B36" t="s">
        <v>894</v>
      </c>
    </row>
    <row r="37" spans="1:2" x14ac:dyDescent="0.3">
      <c r="A37" t="s">
        <v>758</v>
      </c>
      <c r="B37" t="s">
        <v>891</v>
      </c>
    </row>
    <row r="38" spans="1:2" x14ac:dyDescent="0.3">
      <c r="A38" t="s">
        <v>299</v>
      </c>
      <c r="B38" t="s">
        <v>891</v>
      </c>
    </row>
    <row r="39" spans="1:2" x14ac:dyDescent="0.3">
      <c r="A39" t="s">
        <v>310</v>
      </c>
      <c r="B39" t="s">
        <v>894</v>
      </c>
    </row>
    <row r="40" spans="1:2" x14ac:dyDescent="0.3">
      <c r="A40" t="s">
        <v>774</v>
      </c>
      <c r="B40" t="s">
        <v>894</v>
      </c>
    </row>
    <row r="41" spans="1:2" x14ac:dyDescent="0.3">
      <c r="A41" t="s">
        <v>186</v>
      </c>
      <c r="B41" t="s">
        <v>894</v>
      </c>
    </row>
    <row r="42" spans="1:2" x14ac:dyDescent="0.3">
      <c r="A42" t="s">
        <v>230</v>
      </c>
      <c r="B42" t="s">
        <v>894</v>
      </c>
    </row>
    <row r="43" spans="1:2" x14ac:dyDescent="0.3">
      <c r="A43" t="s">
        <v>222</v>
      </c>
      <c r="B43" t="s">
        <v>894</v>
      </c>
    </row>
    <row r="44" spans="1:2" x14ac:dyDescent="0.3">
      <c r="A44" t="s">
        <v>224</v>
      </c>
      <c r="B44" t="s">
        <v>894</v>
      </c>
    </row>
    <row r="45" spans="1:2" x14ac:dyDescent="0.3">
      <c r="A45" t="s">
        <v>835</v>
      </c>
      <c r="B45" t="s">
        <v>890</v>
      </c>
    </row>
    <row r="46" spans="1:2" x14ac:dyDescent="0.3">
      <c r="A46" t="s">
        <v>242</v>
      </c>
      <c r="B46" t="s">
        <v>894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CEF3A2-69FB-4674-B985-719D45DDE4D4}">
  <sheetPr codeName="Sheet5">
    <tabColor rgb="FF1B2A49"/>
  </sheetPr>
  <dimension ref="B2:AN113"/>
  <sheetViews>
    <sheetView workbookViewId="0">
      <selection activeCell="I20" sqref="I20"/>
    </sheetView>
  </sheetViews>
  <sheetFormatPr defaultRowHeight="14.4" x14ac:dyDescent="0.3"/>
  <cols>
    <col min="2" max="2" width="12.77734375" bestFit="1" customWidth="1"/>
    <col min="3" max="3" width="10.44140625" bestFit="1" customWidth="1"/>
    <col min="4" max="4" width="13.21875" bestFit="1" customWidth="1"/>
    <col min="5" max="5" width="13" bestFit="1" customWidth="1"/>
    <col min="6" max="6" width="12.77734375" bestFit="1" customWidth="1"/>
    <col min="7" max="7" width="10.44140625" bestFit="1" customWidth="1"/>
    <col min="8" max="8" width="28" bestFit="1" customWidth="1"/>
    <col min="9" max="9" width="10.5546875" bestFit="1" customWidth="1"/>
    <col min="10" max="10" width="16.21875" bestFit="1" customWidth="1"/>
    <col min="11" max="11" width="14.5546875" bestFit="1" customWidth="1"/>
    <col min="12" max="12" width="12.77734375" bestFit="1" customWidth="1"/>
    <col min="13" max="13" width="15.77734375" bestFit="1" customWidth="1"/>
    <col min="14" max="14" width="11" bestFit="1" customWidth="1"/>
    <col min="15" max="15" width="5.5546875" bestFit="1" customWidth="1"/>
    <col min="16" max="16" width="16.77734375" bestFit="1" customWidth="1"/>
    <col min="17" max="17" width="15.77734375" bestFit="1" customWidth="1"/>
    <col min="18" max="18" width="11" bestFit="1" customWidth="1"/>
    <col min="19" max="19" width="10.21875" bestFit="1" customWidth="1"/>
    <col min="20" max="20" width="3.77734375" customWidth="1"/>
    <col min="21" max="21" width="12.77734375" bestFit="1" customWidth="1"/>
    <col min="22" max="22" width="11.77734375" bestFit="1" customWidth="1"/>
    <col min="23" max="23" width="14.5546875" bestFit="1" customWidth="1"/>
    <col min="24" max="24" width="8.44140625" bestFit="1" customWidth="1"/>
    <col min="25" max="25" width="8.77734375" bestFit="1" customWidth="1"/>
    <col min="26" max="26" width="13" bestFit="1" customWidth="1"/>
    <col min="27" max="27" width="12.77734375" bestFit="1" customWidth="1"/>
    <col min="28" max="28" width="10.5546875" bestFit="1" customWidth="1"/>
    <col min="29" max="29" width="10" bestFit="1" customWidth="1"/>
    <col min="30" max="30" width="11.5546875" bestFit="1" customWidth="1"/>
    <col min="31" max="31" width="15.77734375" bestFit="1" customWidth="1"/>
    <col min="32" max="32" width="12.77734375" bestFit="1" customWidth="1"/>
    <col min="33" max="34" width="14.5546875" bestFit="1" customWidth="1"/>
    <col min="35" max="35" width="10.6640625" bestFit="1" customWidth="1"/>
    <col min="36" max="36" width="12.77734375" bestFit="1" customWidth="1"/>
    <col min="37" max="37" width="14.5546875" bestFit="1" customWidth="1"/>
    <col min="38" max="38" width="6.6640625" customWidth="1"/>
    <col min="39" max="39" width="12.77734375" bestFit="1" customWidth="1"/>
    <col min="40" max="40" width="14.5546875" bestFit="1" customWidth="1"/>
    <col min="41" max="41" width="9.6640625" bestFit="1" customWidth="1"/>
    <col min="42" max="42" width="5.44140625" bestFit="1" customWidth="1"/>
    <col min="43" max="43" width="10.109375" bestFit="1" customWidth="1"/>
    <col min="44" max="44" width="12.21875" bestFit="1" customWidth="1"/>
    <col min="45" max="45" width="9.5546875" bestFit="1" customWidth="1"/>
    <col min="46" max="46" width="3.5546875" bestFit="1" customWidth="1"/>
    <col min="47" max="47" width="5" bestFit="1" customWidth="1"/>
    <col min="48" max="48" width="6.44140625" bestFit="1" customWidth="1"/>
    <col min="49" max="49" width="9.109375" bestFit="1" customWidth="1"/>
    <col min="50" max="50" width="3.33203125" bestFit="1" customWidth="1"/>
    <col min="51" max="51" width="4.109375" bestFit="1" customWidth="1"/>
    <col min="52" max="52" width="8.33203125" bestFit="1" customWidth="1"/>
    <col min="53" max="53" width="5.44140625" bestFit="1" customWidth="1"/>
    <col min="54" max="54" width="5.109375" bestFit="1" customWidth="1"/>
    <col min="56" max="56" width="4.88671875" bestFit="1" customWidth="1"/>
    <col min="57" max="57" width="11.88671875" bestFit="1" customWidth="1"/>
    <col min="58" max="58" width="8.21875" bestFit="1" customWidth="1"/>
    <col min="59" max="59" width="14" bestFit="1" customWidth="1"/>
    <col min="60" max="60" width="10.109375" bestFit="1" customWidth="1"/>
    <col min="61" max="61" width="10.6640625" bestFit="1" customWidth="1"/>
    <col min="62" max="63" width="8.33203125" bestFit="1" customWidth="1"/>
    <col min="64" max="64" width="9.6640625" bestFit="1" customWidth="1"/>
    <col min="65" max="65" width="10.109375" bestFit="1" customWidth="1"/>
    <col min="66" max="66" width="9.44140625" bestFit="1" customWidth="1"/>
    <col min="67" max="67" width="9.109375" bestFit="1" customWidth="1"/>
    <col min="68" max="68" width="8.21875" bestFit="1" customWidth="1"/>
    <col min="69" max="69" width="3.33203125" bestFit="1" customWidth="1"/>
    <col min="70" max="70" width="10.5546875" bestFit="1" customWidth="1"/>
    <col min="71" max="71" width="10.109375" bestFit="1" customWidth="1"/>
    <col min="72" max="72" width="9.109375" bestFit="1" customWidth="1"/>
    <col min="73" max="73" width="8.77734375" bestFit="1" customWidth="1"/>
    <col min="74" max="74" width="6" bestFit="1" customWidth="1"/>
    <col min="75" max="75" width="7.88671875" bestFit="1" customWidth="1"/>
    <col min="76" max="76" width="10.5546875" bestFit="1" customWidth="1"/>
    <col min="77" max="77" width="4.5546875" bestFit="1" customWidth="1"/>
    <col min="78" max="78" width="3.109375" bestFit="1" customWidth="1"/>
    <col min="79" max="79" width="9.33203125" bestFit="1" customWidth="1"/>
    <col min="80" max="80" width="3.33203125" bestFit="1" customWidth="1"/>
    <col min="81" max="81" width="8.21875" bestFit="1" customWidth="1"/>
    <col min="82" max="82" width="10.5546875" bestFit="1" customWidth="1"/>
    <col min="84" max="84" width="8.44140625" bestFit="1" customWidth="1"/>
    <col min="86" max="86" width="8" bestFit="1" customWidth="1"/>
    <col min="87" max="87" width="10.77734375" bestFit="1" customWidth="1"/>
  </cols>
  <sheetData>
    <row r="2" spans="2:40" ht="14.4" customHeight="1" x14ac:dyDescent="0.3">
      <c r="B2" s="110" t="s">
        <v>946</v>
      </c>
      <c r="C2" s="111"/>
      <c r="D2" s="111"/>
      <c r="E2" s="111"/>
      <c r="F2" s="111"/>
      <c r="G2" s="111"/>
      <c r="H2" s="111"/>
    </row>
    <row r="3" spans="2:40" ht="14.4" customHeight="1" x14ac:dyDescent="0.3">
      <c r="B3" s="112"/>
      <c r="C3" s="113"/>
      <c r="D3" s="113"/>
      <c r="E3" s="113"/>
      <c r="F3" s="113"/>
      <c r="G3" s="113"/>
      <c r="H3" s="113"/>
    </row>
    <row r="4" spans="2:40" x14ac:dyDescent="0.3">
      <c r="B4" s="96" t="s">
        <v>979</v>
      </c>
      <c r="C4" s="96" t="s">
        <v>960</v>
      </c>
      <c r="D4" s="96" t="s">
        <v>938</v>
      </c>
      <c r="E4" s="96" t="s">
        <v>943</v>
      </c>
      <c r="F4" s="97" t="s">
        <v>942</v>
      </c>
      <c r="G4" s="97" t="s">
        <v>944</v>
      </c>
      <c r="H4" s="97" t="s">
        <v>965</v>
      </c>
    </row>
    <row r="5" spans="2:40" x14ac:dyDescent="0.3">
      <c r="B5" s="96">
        <v>125</v>
      </c>
      <c r="C5" s="96">
        <v>147</v>
      </c>
      <c r="D5" s="98">
        <v>1278646.8154000002</v>
      </c>
      <c r="E5" s="98">
        <v>10229.174523200001</v>
      </c>
      <c r="F5" s="98">
        <f>GETPIVOTDATA("Total Sales",$B$11,"الحالة","تم التسليم")</f>
        <v>1024489.9054</v>
      </c>
      <c r="G5" s="99">
        <f>GETPIVOTDATA("Count of Delivery Performance",$F$11,"Delivery Performance","On Time")</f>
        <v>0.38400000000000001</v>
      </c>
      <c r="H5" s="106">
        <f>SUM($H$7:$I$7)</f>
        <v>73</v>
      </c>
      <c r="AF5" s="114" t="s">
        <v>968</v>
      </c>
      <c r="AG5" s="114"/>
      <c r="AJ5" s="114" t="s">
        <v>966</v>
      </c>
      <c r="AK5" s="114"/>
      <c r="AM5" s="114" t="s">
        <v>967</v>
      </c>
      <c r="AN5" s="114"/>
    </row>
    <row r="6" spans="2:40" x14ac:dyDescent="0.3">
      <c r="H6" s="97" t="s">
        <v>971</v>
      </c>
      <c r="I6" s="97" t="s">
        <v>972</v>
      </c>
      <c r="AF6" s="115"/>
      <c r="AG6" s="115"/>
      <c r="AJ6" s="115"/>
      <c r="AK6" s="115"/>
      <c r="AM6" s="115"/>
      <c r="AN6" s="115"/>
    </row>
    <row r="7" spans="2:40" ht="14.4" customHeight="1" x14ac:dyDescent="0.3">
      <c r="H7" s="96">
        <f>COUNTA(Q41:Q112)</f>
        <v>69</v>
      </c>
      <c r="I7" s="96">
        <f>COUNTA(R41:R112)</f>
        <v>4</v>
      </c>
      <c r="P7" s="118" t="s">
        <v>970</v>
      </c>
      <c r="Q7" s="118"/>
      <c r="U7" s="114" t="s">
        <v>969</v>
      </c>
      <c r="V7" s="114"/>
      <c r="W7" s="114"/>
      <c r="AA7" s="114" t="s">
        <v>959</v>
      </c>
      <c r="AB7" s="114"/>
      <c r="AF7" s="100" t="s">
        <v>939</v>
      </c>
      <c r="AG7" s="96" t="s">
        <v>955</v>
      </c>
      <c r="AJ7" s="100" t="s">
        <v>939</v>
      </c>
      <c r="AK7" s="96" t="s">
        <v>955</v>
      </c>
      <c r="AM7" s="100" t="s">
        <v>939</v>
      </c>
      <c r="AN7" s="96" t="s">
        <v>955</v>
      </c>
    </row>
    <row r="8" spans="2:40" ht="14.4" customHeight="1" x14ac:dyDescent="0.3">
      <c r="P8" s="119"/>
      <c r="Q8" s="119"/>
      <c r="U8" s="115"/>
      <c r="V8" s="115"/>
      <c r="W8" s="115"/>
      <c r="AA8" s="115"/>
      <c r="AB8" s="115"/>
      <c r="AF8" s="101" t="s">
        <v>733</v>
      </c>
      <c r="AG8" s="98">
        <v>7396</v>
      </c>
      <c r="AJ8" s="101" t="s">
        <v>150</v>
      </c>
      <c r="AK8" s="98">
        <v>858962.81540000008</v>
      </c>
      <c r="AM8" s="101" t="s">
        <v>168</v>
      </c>
      <c r="AN8" s="98">
        <v>499335</v>
      </c>
    </row>
    <row r="9" spans="2:40" ht="14.4" customHeight="1" x14ac:dyDescent="0.3">
      <c r="B9" s="114" t="s">
        <v>978</v>
      </c>
      <c r="C9" s="114"/>
      <c r="D9" s="114"/>
      <c r="F9" s="114" t="s">
        <v>959</v>
      </c>
      <c r="G9" s="114"/>
      <c r="H9" s="114"/>
      <c r="L9" s="116" t="s">
        <v>954</v>
      </c>
      <c r="M9" s="116"/>
      <c r="P9" s="100" t="s">
        <v>939</v>
      </c>
      <c r="Q9" s="96" t="s">
        <v>955</v>
      </c>
      <c r="U9" s="100" t="s">
        <v>939</v>
      </c>
      <c r="V9" s="96" t="s">
        <v>937</v>
      </c>
      <c r="W9" s="96" t="s">
        <v>955</v>
      </c>
      <c r="AA9" s="100" t="s">
        <v>939</v>
      </c>
      <c r="AB9" s="96" t="s">
        <v>958</v>
      </c>
      <c r="AF9" s="101" t="s">
        <v>263</v>
      </c>
      <c r="AG9" s="98">
        <v>9655</v>
      </c>
      <c r="AJ9" s="101" t="s">
        <v>161</v>
      </c>
      <c r="AK9" s="98">
        <v>235235</v>
      </c>
      <c r="AM9" s="101" t="s">
        <v>167</v>
      </c>
      <c r="AN9" s="98">
        <v>349898</v>
      </c>
    </row>
    <row r="10" spans="2:40" x14ac:dyDescent="0.3">
      <c r="B10" s="115"/>
      <c r="C10" s="115"/>
      <c r="D10" s="115"/>
      <c r="F10" s="115"/>
      <c r="G10" s="115"/>
      <c r="H10" s="115"/>
      <c r="L10" s="117"/>
      <c r="M10" s="117"/>
      <c r="P10" s="101" t="s">
        <v>52</v>
      </c>
      <c r="Q10" s="98">
        <v>183895</v>
      </c>
      <c r="U10" s="101" t="s">
        <v>894</v>
      </c>
      <c r="V10" s="98">
        <v>79</v>
      </c>
      <c r="W10" s="98">
        <v>637356.90999999992</v>
      </c>
      <c r="AA10" s="101" t="s">
        <v>935</v>
      </c>
      <c r="AB10" s="99">
        <v>0.17599999999999999</v>
      </c>
      <c r="AF10" s="101" t="s">
        <v>35</v>
      </c>
      <c r="AG10" s="98">
        <v>27150</v>
      </c>
      <c r="AJ10" s="101" t="s">
        <v>292</v>
      </c>
      <c r="AK10" s="98">
        <v>142957</v>
      </c>
      <c r="AM10" s="101" t="s">
        <v>172</v>
      </c>
      <c r="AN10" s="98">
        <v>104569</v>
      </c>
    </row>
    <row r="11" spans="2:40" x14ac:dyDescent="0.3">
      <c r="B11" s="100" t="s">
        <v>939</v>
      </c>
      <c r="C11" s="96" t="s">
        <v>938</v>
      </c>
      <c r="D11" s="96" t="s">
        <v>941</v>
      </c>
      <c r="F11" s="100" t="s">
        <v>939</v>
      </c>
      <c r="G11" s="96" t="s">
        <v>938</v>
      </c>
      <c r="H11" s="96" t="s">
        <v>945</v>
      </c>
      <c r="L11" s="100" t="s">
        <v>937</v>
      </c>
      <c r="M11" s="100" t="s">
        <v>953</v>
      </c>
      <c r="P11" s="101" t="s">
        <v>43</v>
      </c>
      <c r="Q11" s="98">
        <v>82900</v>
      </c>
      <c r="U11" s="101" t="s">
        <v>890</v>
      </c>
      <c r="V11" s="98">
        <v>26</v>
      </c>
      <c r="W11" s="98">
        <v>286174</v>
      </c>
      <c r="AA11" s="101" t="s">
        <v>936</v>
      </c>
      <c r="AB11" s="99">
        <v>0.44</v>
      </c>
      <c r="AF11" s="101" t="s">
        <v>212</v>
      </c>
      <c r="AG11" s="98">
        <v>33336.905400000003</v>
      </c>
      <c r="AJ11" s="101" t="s">
        <v>158</v>
      </c>
      <c r="AK11" s="98">
        <v>22000</v>
      </c>
      <c r="AM11" s="101" t="s">
        <v>247</v>
      </c>
      <c r="AN11" s="98">
        <v>34099.910000000003</v>
      </c>
    </row>
    <row r="12" spans="2:40" x14ac:dyDescent="0.3">
      <c r="B12" s="101" t="s">
        <v>198</v>
      </c>
      <c r="C12" s="98">
        <v>1024489.9054</v>
      </c>
      <c r="D12" s="99">
        <v>0.81599999999999995</v>
      </c>
      <c r="F12" s="101" t="s">
        <v>935</v>
      </c>
      <c r="G12" s="98">
        <v>246307.91</v>
      </c>
      <c r="H12" s="99">
        <v>0.17599999999999999</v>
      </c>
      <c r="L12" s="100" t="s">
        <v>939</v>
      </c>
      <c r="M12" s="96" t="s">
        <v>198</v>
      </c>
      <c r="P12" s="101" t="s">
        <v>131</v>
      </c>
      <c r="Q12" s="98">
        <v>82009</v>
      </c>
      <c r="U12" s="101" t="s">
        <v>900</v>
      </c>
      <c r="V12" s="98">
        <v>9</v>
      </c>
      <c r="W12" s="98">
        <v>95012</v>
      </c>
      <c r="AA12" s="101" t="s">
        <v>934</v>
      </c>
      <c r="AB12" s="99">
        <v>0.38400000000000001</v>
      </c>
      <c r="AF12" s="101" t="s">
        <v>406</v>
      </c>
      <c r="AG12" s="98">
        <v>68731.91</v>
      </c>
      <c r="AJ12" s="101" t="s">
        <v>219</v>
      </c>
      <c r="AK12" s="98">
        <v>10192</v>
      </c>
      <c r="AM12" s="101" t="s">
        <v>170</v>
      </c>
      <c r="AN12" s="98">
        <v>29771</v>
      </c>
    </row>
    <row r="13" spans="2:40" x14ac:dyDescent="0.3">
      <c r="B13" s="101" t="s">
        <v>879</v>
      </c>
      <c r="C13" s="98">
        <v>222019.91</v>
      </c>
      <c r="D13" s="99">
        <v>0.16</v>
      </c>
      <c r="F13" s="101" t="s">
        <v>936</v>
      </c>
      <c r="G13" s="98">
        <v>540859</v>
      </c>
      <c r="H13" s="99">
        <v>0.44</v>
      </c>
      <c r="L13" s="101" t="s">
        <v>952</v>
      </c>
      <c r="M13" s="96">
        <v>2</v>
      </c>
      <c r="P13" s="101" t="s">
        <v>359</v>
      </c>
      <c r="Q13" s="98">
        <v>60547</v>
      </c>
      <c r="U13" s="101" t="s">
        <v>212</v>
      </c>
      <c r="V13" s="98">
        <v>7</v>
      </c>
      <c r="W13" s="98">
        <v>63313.905400000003</v>
      </c>
      <c r="AA13" s="101" t="s">
        <v>940</v>
      </c>
      <c r="AB13" s="99">
        <v>1</v>
      </c>
      <c r="AF13" s="101" t="s">
        <v>43</v>
      </c>
      <c r="AG13" s="98">
        <v>82900</v>
      </c>
      <c r="AJ13" s="101" t="s">
        <v>162</v>
      </c>
      <c r="AK13" s="98">
        <v>9300</v>
      </c>
      <c r="AM13" s="101" t="s">
        <v>234</v>
      </c>
      <c r="AN13" s="98">
        <v>25798</v>
      </c>
    </row>
    <row r="14" spans="2:40" x14ac:dyDescent="0.3">
      <c r="B14" s="101" t="s">
        <v>192</v>
      </c>
      <c r="C14" s="98">
        <v>24288</v>
      </c>
      <c r="D14" s="99">
        <v>1.6E-2</v>
      </c>
      <c r="F14" s="101" t="s">
        <v>934</v>
      </c>
      <c r="G14" s="98">
        <v>491479.90539999999</v>
      </c>
      <c r="H14" s="99">
        <v>0.38400000000000001</v>
      </c>
      <c r="L14" s="101" t="s">
        <v>947</v>
      </c>
      <c r="M14" s="96">
        <v>9</v>
      </c>
      <c r="P14" s="101" t="s">
        <v>83</v>
      </c>
      <c r="Q14" s="98">
        <v>56371.91</v>
      </c>
      <c r="U14" s="101" t="s">
        <v>895</v>
      </c>
      <c r="V14" s="98">
        <v>15</v>
      </c>
      <c r="W14" s="98">
        <v>63101</v>
      </c>
      <c r="AF14" s="101" t="s">
        <v>52</v>
      </c>
      <c r="AG14" s="98">
        <v>194340</v>
      </c>
      <c r="AM14" s="101" t="s">
        <v>173</v>
      </c>
      <c r="AN14" s="98">
        <v>25244</v>
      </c>
    </row>
    <row r="15" spans="2:40" x14ac:dyDescent="0.3">
      <c r="B15" s="101" t="s">
        <v>208</v>
      </c>
      <c r="C15" s="98">
        <v>7849</v>
      </c>
      <c r="D15" s="99">
        <v>8.0000000000000002E-3</v>
      </c>
      <c r="F15" s="101" t="s">
        <v>940</v>
      </c>
      <c r="G15" s="98">
        <v>1278646.8154000002</v>
      </c>
      <c r="H15" s="99">
        <v>1</v>
      </c>
      <c r="L15" s="101" t="s">
        <v>948</v>
      </c>
      <c r="M15" s="96">
        <v>70</v>
      </c>
      <c r="P15" s="101" t="s">
        <v>38</v>
      </c>
      <c r="Q15" s="98">
        <v>7228</v>
      </c>
      <c r="U15" s="101" t="s">
        <v>891</v>
      </c>
      <c r="V15" s="98">
        <v>5</v>
      </c>
      <c r="W15" s="98">
        <v>54762</v>
      </c>
      <c r="AA15" s="96" t="str">
        <f>AA10</f>
        <v>Cancelled</v>
      </c>
      <c r="AB15" s="99">
        <f>AB10</f>
        <v>0.17599999999999999</v>
      </c>
      <c r="AC15" s="99">
        <f>100%-AB15</f>
        <v>0.82400000000000007</v>
      </c>
      <c r="AF15" s="101" t="s">
        <v>8</v>
      </c>
      <c r="AG15" s="98">
        <v>855137</v>
      </c>
      <c r="AM15" s="101" t="s">
        <v>201</v>
      </c>
      <c r="AN15" s="98">
        <v>12500</v>
      </c>
    </row>
    <row r="16" spans="2:40" x14ac:dyDescent="0.3">
      <c r="B16" s="101" t="s">
        <v>940</v>
      </c>
      <c r="C16" s="98">
        <v>1278646.8154</v>
      </c>
      <c r="D16" s="99">
        <v>1</v>
      </c>
      <c r="L16" s="101" t="s">
        <v>949</v>
      </c>
      <c r="M16" s="96">
        <v>21</v>
      </c>
      <c r="P16" s="101" t="s">
        <v>493</v>
      </c>
      <c r="Q16" s="98">
        <v>5999</v>
      </c>
      <c r="U16" s="101" t="s">
        <v>893</v>
      </c>
      <c r="V16" s="98">
        <v>3</v>
      </c>
      <c r="W16" s="98">
        <v>41640</v>
      </c>
      <c r="AA16" s="96" t="str">
        <f t="shared" ref="AA16:AB17" si="0">AA11</f>
        <v>Late</v>
      </c>
      <c r="AB16" s="99">
        <f t="shared" si="0"/>
        <v>0.44</v>
      </c>
      <c r="AC16" s="99">
        <f t="shared" ref="AC16:AC17" si="1">100%-AB16</f>
        <v>0.56000000000000005</v>
      </c>
      <c r="AF16" s="101" t="s">
        <v>940</v>
      </c>
      <c r="AG16" s="98">
        <v>1278646.8154</v>
      </c>
      <c r="AM16" s="101" t="s">
        <v>214</v>
      </c>
      <c r="AN16" s="98">
        <v>8544.9053999999996</v>
      </c>
    </row>
    <row r="17" spans="3:40" x14ac:dyDescent="0.3">
      <c r="L17" s="101" t="s">
        <v>950</v>
      </c>
      <c r="M17" s="96">
        <v>15</v>
      </c>
      <c r="P17" s="101" t="s">
        <v>281</v>
      </c>
      <c r="Q17" s="98">
        <v>5700</v>
      </c>
      <c r="U17" s="101" t="s">
        <v>892</v>
      </c>
      <c r="V17" s="98">
        <v>2</v>
      </c>
      <c r="W17" s="98">
        <v>24288</v>
      </c>
      <c r="AA17" s="96" t="str">
        <f t="shared" si="0"/>
        <v>On Time</v>
      </c>
      <c r="AB17" s="99">
        <f t="shared" si="0"/>
        <v>0.38400000000000001</v>
      </c>
      <c r="AC17" s="99">
        <f t="shared" si="1"/>
        <v>0.61599999999999999</v>
      </c>
      <c r="AM17" s="101" t="s">
        <v>176</v>
      </c>
      <c r="AN17" s="98">
        <v>5700</v>
      </c>
    </row>
    <row r="18" spans="3:40" x14ac:dyDescent="0.3">
      <c r="L18" s="101" t="s">
        <v>951</v>
      </c>
      <c r="M18" s="96">
        <v>6</v>
      </c>
      <c r="P18" s="101" t="s">
        <v>240</v>
      </c>
      <c r="Q18" s="98">
        <v>5135</v>
      </c>
      <c r="U18" s="101" t="s">
        <v>896</v>
      </c>
      <c r="V18" s="98">
        <v>1</v>
      </c>
      <c r="W18" s="98">
        <v>12999</v>
      </c>
      <c r="AM18" s="101" t="s">
        <v>819</v>
      </c>
      <c r="AN18" s="98">
        <v>5135</v>
      </c>
    </row>
    <row r="19" spans="3:40" x14ac:dyDescent="0.3">
      <c r="C19" s="96" t="str">
        <f>$B12</f>
        <v>تم التسليم</v>
      </c>
      <c r="D19" s="99">
        <f>$D12</f>
        <v>0.81599999999999995</v>
      </c>
      <c r="L19" s="101" t="s">
        <v>940</v>
      </c>
      <c r="M19" s="96">
        <v>123</v>
      </c>
      <c r="P19" s="101" t="s">
        <v>263</v>
      </c>
      <c r="Q19" s="98">
        <v>4520</v>
      </c>
      <c r="U19" s="101" t="s">
        <v>940</v>
      </c>
      <c r="V19" s="98">
        <v>147</v>
      </c>
      <c r="W19" s="98">
        <v>1278646.8154</v>
      </c>
      <c r="AA19" s="108" t="s">
        <v>961</v>
      </c>
      <c r="AB19" s="108"/>
      <c r="AJ19" s="114" t="s">
        <v>973</v>
      </c>
      <c r="AK19" s="114"/>
      <c r="AM19" s="101" t="s">
        <v>217</v>
      </c>
      <c r="AN19" s="98">
        <v>4600</v>
      </c>
    </row>
    <row r="20" spans="3:40" x14ac:dyDescent="0.3">
      <c r="C20" s="96" t="str">
        <f>$B13</f>
        <v>ملغي</v>
      </c>
      <c r="D20" s="99">
        <f>$D13</f>
        <v>0.16</v>
      </c>
      <c r="P20" s="101" t="s">
        <v>940</v>
      </c>
      <c r="Q20" s="98">
        <v>494304.91000000003</v>
      </c>
      <c r="AA20" s="108"/>
      <c r="AB20" s="108"/>
      <c r="AJ20" s="115"/>
      <c r="AK20" s="115"/>
    </row>
    <row r="21" spans="3:40" x14ac:dyDescent="0.3">
      <c r="C21" s="96" t="str">
        <f>$B14</f>
        <v>فشل التسليم</v>
      </c>
      <c r="D21" s="99">
        <f>$D14</f>
        <v>1.6E-2</v>
      </c>
      <c r="AJ21" s="101" t="str">
        <f>IF($R$23=5,$AJ8,$AM8)</f>
        <v>اسود</v>
      </c>
      <c r="AK21" s="98">
        <f>IF($R$23=5,$AK8,$AN8)</f>
        <v>499335</v>
      </c>
    </row>
    <row r="22" spans="3:40" x14ac:dyDescent="0.3">
      <c r="C22" s="96" t="str">
        <f>$B15</f>
        <v>مرتجع</v>
      </c>
      <c r="D22" s="99">
        <f>$D15</f>
        <v>8.0000000000000002E-3</v>
      </c>
      <c r="R22" s="103" t="s">
        <v>957</v>
      </c>
      <c r="U22" s="101" t="s">
        <v>894</v>
      </c>
      <c r="V22" s="105">
        <f t="shared" ref="V22:V29" si="2">IF($R$23=3,$W10,$V10)</f>
        <v>79</v>
      </c>
      <c r="AJ22" s="101" t="str">
        <f t="shared" ref="AJ22:AJ26" si="3">IF($R$23=5,$AJ9,$AM9)</f>
        <v>ابيض</v>
      </c>
      <c r="AK22" s="98">
        <f t="shared" ref="AK22:AK26" si="4">IF($R$23=5,$AK9,$AN9)</f>
        <v>349898</v>
      </c>
    </row>
    <row r="23" spans="3:40" x14ac:dyDescent="0.3">
      <c r="P23" s="102" t="s">
        <v>956</v>
      </c>
      <c r="Q23" s="102">
        <f>$H$5</f>
        <v>73</v>
      </c>
      <c r="R23" s="96">
        <v>1</v>
      </c>
      <c r="U23" s="101" t="s">
        <v>890</v>
      </c>
      <c r="V23" s="105">
        <f t="shared" si="2"/>
        <v>26</v>
      </c>
      <c r="AJ23" s="101" t="str">
        <f t="shared" si="3"/>
        <v>رمادى</v>
      </c>
      <c r="AK23" s="98">
        <f t="shared" si="4"/>
        <v>104569</v>
      </c>
    </row>
    <row r="24" spans="3:40" x14ac:dyDescent="0.3">
      <c r="U24" s="101" t="s">
        <v>212</v>
      </c>
      <c r="V24" s="105">
        <f t="shared" si="2"/>
        <v>9</v>
      </c>
      <c r="AJ24" s="101" t="str">
        <f t="shared" si="3"/>
        <v>الوان</v>
      </c>
      <c r="AK24" s="98">
        <f t="shared" si="4"/>
        <v>34099.910000000003</v>
      </c>
    </row>
    <row r="25" spans="3:40" x14ac:dyDescent="0.3">
      <c r="P25" s="96" t="str">
        <f>IF($R$23=1,$P10,$P15)</f>
        <v>شيك هومز</v>
      </c>
      <c r="Q25" s="104">
        <f>IF($R$23=1,$Q10,$Q15)</f>
        <v>183895</v>
      </c>
      <c r="U25" s="101" t="s">
        <v>895</v>
      </c>
      <c r="V25" s="105">
        <f t="shared" si="2"/>
        <v>7</v>
      </c>
      <c r="AJ25" s="101" t="str">
        <f t="shared" si="3"/>
        <v>ازرق</v>
      </c>
      <c r="AK25" s="98">
        <f t="shared" si="4"/>
        <v>29771</v>
      </c>
    </row>
    <row r="26" spans="3:40" x14ac:dyDescent="0.3">
      <c r="P26" s="96" t="str">
        <f>IF($R$23=1,$P11,$P16)</f>
        <v>تاكى</v>
      </c>
      <c r="Q26" s="104">
        <f>IF($R$23=1,$Q11,$Q16)</f>
        <v>82900</v>
      </c>
      <c r="U26" s="101" t="s">
        <v>891</v>
      </c>
      <c r="V26" s="105">
        <f t="shared" si="2"/>
        <v>15</v>
      </c>
      <c r="AJ26" s="101" t="str">
        <f t="shared" si="3"/>
        <v>بينك</v>
      </c>
      <c r="AK26" s="98">
        <f t="shared" si="4"/>
        <v>25798</v>
      </c>
    </row>
    <row r="27" spans="3:40" x14ac:dyDescent="0.3">
      <c r="P27" s="96" t="str">
        <f>IF($R$23=1,$P12,$P17)</f>
        <v>ساره</v>
      </c>
      <c r="Q27" s="104">
        <f>IF($R$23=1,$Q12,$Q17)</f>
        <v>82009</v>
      </c>
      <c r="U27" s="101" t="s">
        <v>893</v>
      </c>
      <c r="V27" s="105">
        <f t="shared" si="2"/>
        <v>5</v>
      </c>
    </row>
    <row r="28" spans="3:40" x14ac:dyDescent="0.3">
      <c r="P28" s="96" t="str">
        <f>IF($R$23=1,$P13,$P18)</f>
        <v>احمد</v>
      </c>
      <c r="Q28" s="104">
        <f>IF($R$23=1,$Q13,$Q18)</f>
        <v>60547</v>
      </c>
      <c r="U28" s="101" t="s">
        <v>892</v>
      </c>
      <c r="V28" s="105">
        <f t="shared" si="2"/>
        <v>3</v>
      </c>
      <c r="AK28" t="s">
        <v>976</v>
      </c>
    </row>
    <row r="29" spans="3:40" x14ac:dyDescent="0.3">
      <c r="P29" s="96" t="str">
        <f>IF($R$23=1,$P14,$P19)</f>
        <v>اوسكار راتن</v>
      </c>
      <c r="Q29" s="104">
        <f>IF($R$23=1,$Q14,$Q19)</f>
        <v>56371.91</v>
      </c>
      <c r="U29" s="101" t="s">
        <v>896</v>
      </c>
      <c r="V29" s="105">
        <f t="shared" si="2"/>
        <v>2</v>
      </c>
      <c r="AK29" t="s">
        <v>977</v>
      </c>
    </row>
    <row r="30" spans="3:40" x14ac:dyDescent="0.3">
      <c r="W30" t="s">
        <v>974</v>
      </c>
    </row>
    <row r="31" spans="3:40" x14ac:dyDescent="0.3">
      <c r="P31" t="s">
        <v>962</v>
      </c>
      <c r="W31" t="s">
        <v>975</v>
      </c>
    </row>
    <row r="32" spans="3:40" x14ac:dyDescent="0.3">
      <c r="P32" t="s">
        <v>963</v>
      </c>
      <c r="U32" s="109" t="str">
        <f>IF(R23=3,"Total Sales By Area","Total Orders By Area")</f>
        <v>Total Orders By Area</v>
      </c>
      <c r="V32" s="109"/>
    </row>
    <row r="33" spans="16:37" x14ac:dyDescent="0.3">
      <c r="U33" s="109"/>
      <c r="V33" s="109"/>
      <c r="AJ33" s="120" t="str">
        <f>IF(R23=5,"Total Sales By Product","Top 5 Sales By Color")</f>
        <v>Top 5 Sales By Color</v>
      </c>
      <c r="AK33" s="120"/>
    </row>
    <row r="34" spans="16:37" x14ac:dyDescent="0.3">
      <c r="AJ34" s="120"/>
      <c r="AK34" s="120"/>
    </row>
    <row r="35" spans="16:37" x14ac:dyDescent="0.3">
      <c r="P35" s="108" t="str">
        <f>IF(R23=1,"Showing TOP-5 profitable customers out of "&amp;Q23&amp; " customers","Showing 5 lowest proftable  customers out of "&amp;Q23&amp; " customers")</f>
        <v>Showing TOP-5 profitable customers out of 73 customers</v>
      </c>
      <c r="Q35" s="108"/>
    </row>
    <row r="36" spans="16:37" x14ac:dyDescent="0.3">
      <c r="P36" s="108"/>
      <c r="Q36" s="108"/>
    </row>
    <row r="39" spans="16:37" x14ac:dyDescent="0.3">
      <c r="P39" s="100" t="s">
        <v>964</v>
      </c>
      <c r="Q39" s="100" t="s">
        <v>953</v>
      </c>
      <c r="R39" s="96"/>
    </row>
    <row r="40" spans="16:37" x14ac:dyDescent="0.3">
      <c r="P40" s="100" t="s">
        <v>939</v>
      </c>
      <c r="Q40" s="96" t="s">
        <v>888</v>
      </c>
      <c r="R40" s="96" t="s">
        <v>901</v>
      </c>
    </row>
    <row r="41" spans="16:37" x14ac:dyDescent="0.3">
      <c r="P41" s="101" t="s">
        <v>58</v>
      </c>
      <c r="Q41" s="98">
        <v>1</v>
      </c>
      <c r="R41" s="98"/>
    </row>
    <row r="42" spans="16:37" x14ac:dyDescent="0.3">
      <c r="P42" s="101" t="s">
        <v>231</v>
      </c>
      <c r="Q42" s="98">
        <v>1</v>
      </c>
      <c r="R42" s="98"/>
    </row>
    <row r="43" spans="16:37" x14ac:dyDescent="0.3">
      <c r="P43" s="101" t="s">
        <v>185</v>
      </c>
      <c r="Q43" s="98">
        <v>1</v>
      </c>
      <c r="R43" s="98"/>
    </row>
    <row r="44" spans="16:37" x14ac:dyDescent="0.3">
      <c r="P44" s="101" t="s">
        <v>183</v>
      </c>
      <c r="Q44" s="98">
        <v>2</v>
      </c>
      <c r="R44" s="98"/>
    </row>
    <row r="45" spans="16:37" x14ac:dyDescent="0.3">
      <c r="P45" s="101" t="s">
        <v>237</v>
      </c>
      <c r="Q45" s="98">
        <v>1</v>
      </c>
      <c r="R45" s="98"/>
    </row>
    <row r="46" spans="16:37" x14ac:dyDescent="0.3">
      <c r="P46" s="101" t="s">
        <v>235</v>
      </c>
      <c r="Q46" s="98">
        <v>1</v>
      </c>
      <c r="R46" s="98"/>
    </row>
    <row r="47" spans="16:37" x14ac:dyDescent="0.3">
      <c r="P47" s="101" t="s">
        <v>38</v>
      </c>
      <c r="Q47" s="98">
        <v>1</v>
      </c>
      <c r="R47" s="98"/>
    </row>
    <row r="48" spans="16:37" x14ac:dyDescent="0.3">
      <c r="P48" s="101" t="s">
        <v>359</v>
      </c>
      <c r="Q48" s="98">
        <v>6</v>
      </c>
      <c r="R48" s="98"/>
    </row>
    <row r="49" spans="16:18" x14ac:dyDescent="0.3">
      <c r="P49" s="101" t="s">
        <v>586</v>
      </c>
      <c r="Q49" s="98">
        <v>1</v>
      </c>
      <c r="R49" s="98"/>
    </row>
    <row r="50" spans="16:18" x14ac:dyDescent="0.3">
      <c r="P50" s="101" t="s">
        <v>573</v>
      </c>
      <c r="Q50" s="98">
        <v>2</v>
      </c>
      <c r="R50" s="98"/>
    </row>
    <row r="51" spans="16:18" x14ac:dyDescent="0.3">
      <c r="P51" s="101" t="s">
        <v>298</v>
      </c>
      <c r="Q51" s="98">
        <v>1</v>
      </c>
      <c r="R51" s="98"/>
    </row>
    <row r="52" spans="16:18" x14ac:dyDescent="0.3">
      <c r="P52" s="101" t="s">
        <v>392</v>
      </c>
      <c r="Q52" s="98">
        <v>1</v>
      </c>
      <c r="R52" s="98"/>
    </row>
    <row r="53" spans="16:18" x14ac:dyDescent="0.3">
      <c r="P53" s="101" t="s">
        <v>196</v>
      </c>
      <c r="Q53" s="98">
        <v>1</v>
      </c>
      <c r="R53" s="98"/>
    </row>
    <row r="54" spans="16:18" x14ac:dyDescent="0.3">
      <c r="P54" s="101" t="s">
        <v>537</v>
      </c>
      <c r="Q54" s="98">
        <v>1</v>
      </c>
      <c r="R54" s="98"/>
    </row>
    <row r="55" spans="16:18" x14ac:dyDescent="0.3">
      <c r="P55" s="101" t="s">
        <v>479</v>
      </c>
      <c r="Q55" s="98">
        <v>1</v>
      </c>
      <c r="R55" s="98"/>
    </row>
    <row r="56" spans="16:18" x14ac:dyDescent="0.3">
      <c r="P56" s="101" t="s">
        <v>210</v>
      </c>
      <c r="Q56" s="98">
        <v>4</v>
      </c>
      <c r="R56" s="98"/>
    </row>
    <row r="57" spans="16:18" x14ac:dyDescent="0.3">
      <c r="P57" s="101" t="s">
        <v>83</v>
      </c>
      <c r="Q57" s="98"/>
      <c r="R57" s="98">
        <v>11</v>
      </c>
    </row>
    <row r="58" spans="16:18" x14ac:dyDescent="0.3">
      <c r="P58" s="101" t="s">
        <v>554</v>
      </c>
      <c r="Q58" s="98">
        <v>1</v>
      </c>
      <c r="R58" s="98"/>
    </row>
    <row r="59" spans="16:18" x14ac:dyDescent="0.3">
      <c r="P59" s="101" t="s">
        <v>748</v>
      </c>
      <c r="Q59" s="98">
        <v>1</v>
      </c>
      <c r="R59" s="98"/>
    </row>
    <row r="60" spans="16:18" x14ac:dyDescent="0.3">
      <c r="P60" s="101" t="s">
        <v>530</v>
      </c>
      <c r="Q60" s="98">
        <v>1</v>
      </c>
      <c r="R60" s="98"/>
    </row>
    <row r="61" spans="16:18" x14ac:dyDescent="0.3">
      <c r="P61" s="101" t="s">
        <v>253</v>
      </c>
      <c r="Q61" s="98">
        <v>2</v>
      </c>
      <c r="R61" s="98"/>
    </row>
    <row r="62" spans="16:18" x14ac:dyDescent="0.3">
      <c r="P62" s="101" t="s">
        <v>43</v>
      </c>
      <c r="Q62" s="98">
        <v>6</v>
      </c>
      <c r="R62" s="98">
        <v>3</v>
      </c>
    </row>
    <row r="63" spans="16:18" x14ac:dyDescent="0.3">
      <c r="P63" s="101" t="s">
        <v>306</v>
      </c>
      <c r="Q63" s="98">
        <v>1</v>
      </c>
      <c r="R63" s="98"/>
    </row>
    <row r="64" spans="16:18" x14ac:dyDescent="0.3">
      <c r="P64" s="101" t="s">
        <v>116</v>
      </c>
      <c r="Q64" s="98">
        <v>1</v>
      </c>
      <c r="R64" s="98"/>
    </row>
    <row r="65" spans="16:18" x14ac:dyDescent="0.3">
      <c r="P65" s="101" t="s">
        <v>69</v>
      </c>
      <c r="Q65" s="98">
        <v>1</v>
      </c>
      <c r="R65" s="98"/>
    </row>
    <row r="66" spans="16:18" x14ac:dyDescent="0.3">
      <c r="P66" s="101" t="s">
        <v>485</v>
      </c>
      <c r="Q66" s="98">
        <v>1</v>
      </c>
      <c r="R66" s="98"/>
    </row>
    <row r="67" spans="16:18" x14ac:dyDescent="0.3">
      <c r="P67" s="101" t="s">
        <v>266</v>
      </c>
      <c r="Q67" s="98">
        <v>1</v>
      </c>
      <c r="R67" s="98"/>
    </row>
    <row r="68" spans="16:18" x14ac:dyDescent="0.3">
      <c r="P68" s="101" t="s">
        <v>317</v>
      </c>
      <c r="Q68" s="98">
        <v>1</v>
      </c>
      <c r="R68" s="98"/>
    </row>
    <row r="69" spans="16:18" x14ac:dyDescent="0.3">
      <c r="P69" s="101" t="s">
        <v>326</v>
      </c>
      <c r="Q69" s="98">
        <v>1</v>
      </c>
      <c r="R69" s="98"/>
    </row>
    <row r="70" spans="16:18" x14ac:dyDescent="0.3">
      <c r="P70" s="101" t="s">
        <v>549</v>
      </c>
      <c r="Q70" s="98">
        <v>1</v>
      </c>
      <c r="R70" s="98"/>
    </row>
    <row r="71" spans="16:18" x14ac:dyDescent="0.3">
      <c r="P71" s="101" t="s">
        <v>599</v>
      </c>
      <c r="Q71" s="98">
        <v>1</v>
      </c>
      <c r="R71" s="98"/>
    </row>
    <row r="72" spans="16:18" x14ac:dyDescent="0.3">
      <c r="P72" s="101" t="s">
        <v>133</v>
      </c>
      <c r="Q72" s="98">
        <v>1</v>
      </c>
      <c r="R72" s="98"/>
    </row>
    <row r="73" spans="16:18" x14ac:dyDescent="0.3">
      <c r="P73" s="101" t="s">
        <v>290</v>
      </c>
      <c r="Q73" s="98">
        <v>1</v>
      </c>
      <c r="R73" s="98"/>
    </row>
    <row r="74" spans="16:18" x14ac:dyDescent="0.3">
      <c r="P74" s="101" t="s">
        <v>731</v>
      </c>
      <c r="Q74" s="98">
        <v>1</v>
      </c>
      <c r="R74" s="98"/>
    </row>
    <row r="75" spans="16:18" x14ac:dyDescent="0.3">
      <c r="P75" s="101" t="s">
        <v>347</v>
      </c>
      <c r="Q75" s="98">
        <v>1</v>
      </c>
      <c r="R75" s="98"/>
    </row>
    <row r="76" spans="16:18" x14ac:dyDescent="0.3">
      <c r="P76" s="101" t="s">
        <v>131</v>
      </c>
      <c r="Q76" s="98">
        <v>7</v>
      </c>
      <c r="R76" s="98"/>
    </row>
    <row r="77" spans="16:18" x14ac:dyDescent="0.3">
      <c r="P77" s="101" t="s">
        <v>517</v>
      </c>
      <c r="Q77" s="98">
        <v>1</v>
      </c>
      <c r="R77" s="98"/>
    </row>
    <row r="78" spans="16:18" x14ac:dyDescent="0.3">
      <c r="P78" s="101" t="s">
        <v>25</v>
      </c>
      <c r="Q78" s="98">
        <v>1</v>
      </c>
      <c r="R78" s="98"/>
    </row>
    <row r="79" spans="16:18" x14ac:dyDescent="0.3">
      <c r="P79" s="101" t="s">
        <v>22</v>
      </c>
      <c r="Q79" s="98">
        <v>1</v>
      </c>
      <c r="R79" s="98"/>
    </row>
    <row r="80" spans="16:18" x14ac:dyDescent="0.3">
      <c r="P80" s="101" t="s">
        <v>52</v>
      </c>
      <c r="Q80" s="98"/>
      <c r="R80" s="98">
        <v>15</v>
      </c>
    </row>
    <row r="81" spans="16:18" x14ac:dyDescent="0.3">
      <c r="P81" s="101" t="s">
        <v>106</v>
      </c>
      <c r="Q81" s="98">
        <v>1</v>
      </c>
      <c r="R81" s="98"/>
    </row>
    <row r="82" spans="16:18" x14ac:dyDescent="0.3">
      <c r="P82" s="101" t="s">
        <v>267</v>
      </c>
      <c r="Q82" s="98">
        <v>1</v>
      </c>
      <c r="R82" s="98"/>
    </row>
    <row r="83" spans="16:18" x14ac:dyDescent="0.3">
      <c r="P83" s="101" t="s">
        <v>542</v>
      </c>
      <c r="Q83" s="98">
        <v>1</v>
      </c>
      <c r="R83" s="98"/>
    </row>
    <row r="84" spans="16:18" x14ac:dyDescent="0.3">
      <c r="P84" s="101" t="s">
        <v>203</v>
      </c>
      <c r="Q84" s="98">
        <v>1</v>
      </c>
      <c r="R84" s="98"/>
    </row>
    <row r="85" spans="16:18" x14ac:dyDescent="0.3">
      <c r="P85" s="101" t="s">
        <v>560</v>
      </c>
      <c r="Q85" s="98">
        <v>2</v>
      </c>
      <c r="R85" s="98"/>
    </row>
    <row r="86" spans="16:18" x14ac:dyDescent="0.3">
      <c r="P86" s="101" t="s">
        <v>79</v>
      </c>
      <c r="Q86" s="98">
        <v>1</v>
      </c>
      <c r="R86" s="98"/>
    </row>
    <row r="87" spans="16:18" x14ac:dyDescent="0.3">
      <c r="P87" s="101" t="s">
        <v>493</v>
      </c>
      <c r="Q87" s="98">
        <v>1</v>
      </c>
      <c r="R87" s="98"/>
    </row>
    <row r="88" spans="16:18" x14ac:dyDescent="0.3">
      <c r="P88" s="101" t="s">
        <v>383</v>
      </c>
      <c r="Q88" s="98">
        <v>1</v>
      </c>
      <c r="R88" s="98"/>
    </row>
    <row r="89" spans="16:18" x14ac:dyDescent="0.3">
      <c r="P89" s="101" t="s">
        <v>221</v>
      </c>
      <c r="Q89" s="98">
        <v>1</v>
      </c>
      <c r="R89" s="98"/>
    </row>
    <row r="90" spans="16:18" x14ac:dyDescent="0.3">
      <c r="P90" s="101" t="s">
        <v>250</v>
      </c>
      <c r="Q90" s="98">
        <v>1</v>
      </c>
      <c r="R90" s="98"/>
    </row>
    <row r="91" spans="16:18" x14ac:dyDescent="0.3">
      <c r="P91" s="101" t="s">
        <v>606</v>
      </c>
      <c r="Q91" s="98">
        <v>1</v>
      </c>
      <c r="R91" s="98"/>
    </row>
    <row r="92" spans="16:18" x14ac:dyDescent="0.3">
      <c r="P92" s="101" t="s">
        <v>405</v>
      </c>
      <c r="Q92" s="98">
        <v>2</v>
      </c>
      <c r="R92" s="98"/>
    </row>
    <row r="93" spans="16:18" x14ac:dyDescent="0.3">
      <c r="P93" s="101" t="s">
        <v>567</v>
      </c>
      <c r="Q93" s="98">
        <v>1</v>
      </c>
      <c r="R93" s="98"/>
    </row>
    <row r="94" spans="16:18" x14ac:dyDescent="0.3">
      <c r="P94" s="101" t="s">
        <v>399</v>
      </c>
      <c r="Q94" s="98">
        <v>1</v>
      </c>
      <c r="R94" s="98"/>
    </row>
    <row r="95" spans="16:18" x14ac:dyDescent="0.3">
      <c r="P95" s="101" t="s">
        <v>281</v>
      </c>
      <c r="Q95" s="98">
        <v>1</v>
      </c>
      <c r="R95" s="98"/>
    </row>
    <row r="96" spans="16:18" x14ac:dyDescent="0.3">
      <c r="P96" s="101" t="s">
        <v>704</v>
      </c>
      <c r="Q96" s="98">
        <v>1</v>
      </c>
      <c r="R96" s="98"/>
    </row>
    <row r="97" spans="16:18" x14ac:dyDescent="0.3">
      <c r="P97" s="101" t="s">
        <v>866</v>
      </c>
      <c r="Q97" s="98">
        <v>1</v>
      </c>
      <c r="R97" s="98"/>
    </row>
    <row r="98" spans="16:18" x14ac:dyDescent="0.3">
      <c r="P98" s="101" t="s">
        <v>294</v>
      </c>
      <c r="Q98" s="98">
        <v>1</v>
      </c>
      <c r="R98" s="98"/>
    </row>
    <row r="99" spans="16:18" x14ac:dyDescent="0.3">
      <c r="P99" s="101" t="s">
        <v>18</v>
      </c>
      <c r="Q99" s="98">
        <v>1</v>
      </c>
      <c r="R99" s="98"/>
    </row>
    <row r="100" spans="16:18" x14ac:dyDescent="0.3">
      <c r="P100" s="101" t="s">
        <v>313</v>
      </c>
      <c r="Q100" s="98">
        <v>1</v>
      </c>
      <c r="R100" s="98"/>
    </row>
    <row r="101" spans="16:18" x14ac:dyDescent="0.3">
      <c r="P101" s="101" t="s">
        <v>591</v>
      </c>
      <c r="Q101" s="98">
        <v>1</v>
      </c>
      <c r="R101" s="98"/>
    </row>
    <row r="102" spans="16:18" x14ac:dyDescent="0.3">
      <c r="P102" s="101" t="s">
        <v>263</v>
      </c>
      <c r="Q102" s="98"/>
      <c r="R102" s="98">
        <v>1</v>
      </c>
    </row>
    <row r="103" spans="16:18" x14ac:dyDescent="0.3">
      <c r="P103" s="101" t="s">
        <v>523</v>
      </c>
      <c r="Q103" s="98">
        <v>1</v>
      </c>
      <c r="R103" s="98"/>
    </row>
    <row r="104" spans="16:18" x14ac:dyDescent="0.3">
      <c r="P104" s="101" t="s">
        <v>119</v>
      </c>
      <c r="Q104" s="98">
        <v>1</v>
      </c>
      <c r="R104" s="98"/>
    </row>
    <row r="105" spans="16:18" x14ac:dyDescent="0.3">
      <c r="P105" s="101" t="s">
        <v>303</v>
      </c>
      <c r="Q105" s="98">
        <v>2</v>
      </c>
      <c r="R105" s="98"/>
    </row>
    <row r="106" spans="16:18" x14ac:dyDescent="0.3">
      <c r="P106" s="101" t="s">
        <v>870</v>
      </c>
      <c r="Q106" s="98">
        <v>1</v>
      </c>
      <c r="R106" s="98"/>
    </row>
    <row r="107" spans="16:18" x14ac:dyDescent="0.3">
      <c r="P107" s="101" t="s">
        <v>501</v>
      </c>
      <c r="Q107" s="98">
        <v>2</v>
      </c>
      <c r="R107" s="98"/>
    </row>
    <row r="108" spans="16:18" x14ac:dyDescent="0.3">
      <c r="P108" s="101" t="s">
        <v>240</v>
      </c>
      <c r="Q108" s="98">
        <v>1</v>
      </c>
      <c r="R108" s="98"/>
    </row>
    <row r="109" spans="16:18" x14ac:dyDescent="0.3">
      <c r="P109" s="101" t="s">
        <v>309</v>
      </c>
      <c r="Q109" s="98">
        <v>1</v>
      </c>
      <c r="R109" s="98"/>
    </row>
    <row r="110" spans="16:18" x14ac:dyDescent="0.3">
      <c r="P110" s="101" t="s">
        <v>99</v>
      </c>
      <c r="Q110" s="98">
        <v>1</v>
      </c>
      <c r="R110" s="98"/>
    </row>
    <row r="111" spans="16:18" x14ac:dyDescent="0.3">
      <c r="P111" s="101" t="s">
        <v>202</v>
      </c>
      <c r="Q111" s="98">
        <v>1</v>
      </c>
      <c r="R111" s="98"/>
    </row>
    <row r="112" spans="16:18" x14ac:dyDescent="0.3">
      <c r="P112" s="101" t="s">
        <v>147</v>
      </c>
      <c r="Q112" s="98">
        <v>1</v>
      </c>
      <c r="R112" s="98"/>
    </row>
    <row r="113" spans="16:18" x14ac:dyDescent="0.3">
      <c r="P113" s="101" t="s">
        <v>940</v>
      </c>
      <c r="Q113" s="98">
        <v>95</v>
      </c>
      <c r="R113" s="98">
        <v>30</v>
      </c>
    </row>
  </sheetData>
  <sheetProtection formatCells="0" formatColumns="0" formatRows="0" insertColumns="0" insertRows="0" insertHyperlinks="0" deleteColumns="0" deleteRows="0"/>
  <mergeCells count="15">
    <mergeCell ref="AJ33:AK34"/>
    <mergeCell ref="AJ5:AK6"/>
    <mergeCell ref="AM5:AN6"/>
    <mergeCell ref="AF5:AG6"/>
    <mergeCell ref="AJ19:AK20"/>
    <mergeCell ref="P35:Q36"/>
    <mergeCell ref="U32:V33"/>
    <mergeCell ref="B2:H3"/>
    <mergeCell ref="AA7:AB8"/>
    <mergeCell ref="U7:W8"/>
    <mergeCell ref="AA19:AB20"/>
    <mergeCell ref="L9:M10"/>
    <mergeCell ref="P7:Q8"/>
    <mergeCell ref="F9:H10"/>
    <mergeCell ref="B9:D10"/>
  </mergeCells>
  <conditionalFormatting pivot="1" sqref="Q10:Q19">
    <cfRule type="colorScale" priority="1">
      <colorScale>
        <cfvo type="min"/>
        <cfvo type="max"/>
        <color rgb="FFFCFCFF"/>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E4B6E-6F93-47E9-A605-EDF67442023F}">
  <sheetPr codeName="Sheet6">
    <tabColor rgb="FFC00000"/>
  </sheetPr>
  <dimension ref="A1:L32"/>
  <sheetViews>
    <sheetView showGridLines="0" showRowColHeaders="0" tabSelected="1" zoomScaleNormal="100" workbookViewId="0">
      <selection activeCell="N4" sqref="N4"/>
    </sheetView>
  </sheetViews>
  <sheetFormatPr defaultColWidth="9.109375" defaultRowHeight="14.4" x14ac:dyDescent="0.3"/>
  <cols>
    <col min="1" max="1" width="6" style="84" customWidth="1"/>
    <col min="2" max="2" width="17.44140625" style="84" customWidth="1"/>
    <col min="3" max="3" width="29.109375" style="84" bestFit="1" customWidth="1"/>
    <col min="4" max="4" width="36.44140625" style="84" bestFit="1" customWidth="1"/>
    <col min="5" max="6" width="33.109375" style="84" bestFit="1" customWidth="1"/>
    <col min="7" max="7" width="21.44140625" style="84" bestFit="1" customWidth="1"/>
    <col min="8" max="16384" width="9.109375" style="84"/>
  </cols>
  <sheetData>
    <row r="1" spans="1:12" x14ac:dyDescent="0.3">
      <c r="A1" s="89"/>
      <c r="B1" s="89"/>
      <c r="C1" s="89"/>
      <c r="D1" s="89"/>
      <c r="E1" s="89"/>
      <c r="F1" s="89"/>
      <c r="G1" s="89"/>
      <c r="H1" s="89"/>
    </row>
    <row r="2" spans="1:12" ht="18" x14ac:dyDescent="0.3">
      <c r="A2" s="89"/>
      <c r="B2" s="90"/>
      <c r="C2" s="93"/>
      <c r="D2" s="93"/>
      <c r="E2" s="93"/>
      <c r="F2" s="93"/>
      <c r="G2" s="93"/>
      <c r="H2" s="89"/>
      <c r="L2" s="107"/>
    </row>
    <row r="3" spans="1:12" ht="36" customHeight="1" x14ac:dyDescent="0.3">
      <c r="A3" s="89"/>
      <c r="B3" s="91"/>
      <c r="C3" s="94"/>
      <c r="D3" s="95"/>
      <c r="E3" s="95"/>
      <c r="F3" s="95"/>
      <c r="G3" s="94"/>
      <c r="H3" s="89"/>
    </row>
    <row r="4" spans="1:12" ht="36" customHeight="1" x14ac:dyDescent="0.3">
      <c r="A4" s="89"/>
      <c r="B4" s="91"/>
      <c r="C4" s="85"/>
      <c r="D4" s="86"/>
      <c r="E4" s="86"/>
      <c r="F4" s="86"/>
      <c r="G4" s="85"/>
    </row>
    <row r="5" spans="1:12" ht="36" customHeight="1" x14ac:dyDescent="0.3">
      <c r="A5" s="89"/>
      <c r="B5" s="91"/>
      <c r="C5" s="85"/>
      <c r="D5" s="86"/>
      <c r="E5" s="86"/>
      <c r="F5" s="86"/>
      <c r="G5" s="85"/>
    </row>
    <row r="6" spans="1:12" ht="36" customHeight="1" x14ac:dyDescent="0.55000000000000004">
      <c r="A6" s="89"/>
      <c r="B6" s="92"/>
      <c r="C6" s="87"/>
      <c r="D6" s="88"/>
      <c r="E6" s="88"/>
      <c r="F6" s="88"/>
    </row>
    <row r="7" spans="1:12" x14ac:dyDescent="0.3">
      <c r="A7" s="89"/>
      <c r="B7" s="89"/>
    </row>
    <row r="8" spans="1:12" x14ac:dyDescent="0.3">
      <c r="A8" s="89"/>
      <c r="B8" s="89"/>
    </row>
    <row r="9" spans="1:12" x14ac:dyDescent="0.3">
      <c r="A9" s="89"/>
      <c r="B9" s="89"/>
    </row>
    <row r="10" spans="1:12" x14ac:dyDescent="0.3">
      <c r="A10" s="89"/>
      <c r="B10" s="89"/>
    </row>
    <row r="11" spans="1:12" x14ac:dyDescent="0.3">
      <c r="A11" s="89"/>
      <c r="B11" s="89"/>
    </row>
    <row r="12" spans="1:12" x14ac:dyDescent="0.3">
      <c r="A12" s="89"/>
      <c r="B12" s="89"/>
    </row>
    <row r="13" spans="1:12" x14ac:dyDescent="0.3">
      <c r="A13" s="89"/>
      <c r="B13" s="89"/>
    </row>
    <row r="14" spans="1:12" x14ac:dyDescent="0.3">
      <c r="A14" s="89"/>
      <c r="B14" s="89"/>
    </row>
    <row r="15" spans="1:12" x14ac:dyDescent="0.3">
      <c r="A15" s="89"/>
      <c r="B15" s="89"/>
    </row>
    <row r="16" spans="1:12" x14ac:dyDescent="0.3">
      <c r="A16" s="89"/>
      <c r="B16" s="89"/>
    </row>
    <row r="17" spans="1:2" x14ac:dyDescent="0.3">
      <c r="A17" s="89"/>
      <c r="B17" s="89"/>
    </row>
    <row r="18" spans="1:2" x14ac:dyDescent="0.3">
      <c r="A18" s="89"/>
      <c r="B18" s="89"/>
    </row>
    <row r="19" spans="1:2" x14ac:dyDescent="0.3">
      <c r="A19" s="89"/>
      <c r="B19" s="89"/>
    </row>
    <row r="20" spans="1:2" x14ac:dyDescent="0.3">
      <c r="A20" s="89"/>
      <c r="B20" s="89"/>
    </row>
    <row r="21" spans="1:2" x14ac:dyDescent="0.3">
      <c r="A21" s="89"/>
      <c r="B21" s="89"/>
    </row>
    <row r="22" spans="1:2" x14ac:dyDescent="0.3">
      <c r="A22" s="89"/>
      <c r="B22" s="89"/>
    </row>
    <row r="23" spans="1:2" x14ac:dyDescent="0.3">
      <c r="A23" s="89"/>
      <c r="B23" s="89"/>
    </row>
    <row r="24" spans="1:2" x14ac:dyDescent="0.3">
      <c r="A24" s="89"/>
      <c r="B24" s="89"/>
    </row>
    <row r="25" spans="1:2" x14ac:dyDescent="0.3">
      <c r="A25" s="89"/>
      <c r="B25" s="89"/>
    </row>
    <row r="26" spans="1:2" x14ac:dyDescent="0.3">
      <c r="A26" s="89"/>
      <c r="B26" s="89"/>
    </row>
    <row r="27" spans="1:2" x14ac:dyDescent="0.3">
      <c r="A27" s="89"/>
      <c r="B27" s="89"/>
    </row>
    <row r="28" spans="1:2" x14ac:dyDescent="0.3">
      <c r="A28" s="89"/>
      <c r="B28" s="89"/>
    </row>
    <row r="29" spans="1:2" x14ac:dyDescent="0.3">
      <c r="A29" s="89"/>
      <c r="B29" s="89"/>
    </row>
    <row r="30" spans="1:2" x14ac:dyDescent="0.3">
      <c r="A30" s="89"/>
      <c r="B30" s="89"/>
    </row>
    <row r="31" spans="1:2" x14ac:dyDescent="0.3">
      <c r="A31" s="89"/>
      <c r="B31" s="89"/>
    </row>
    <row r="32" spans="1:2" x14ac:dyDescent="0.3">
      <c r="A32" s="89"/>
      <c r="B32" s="89"/>
    </row>
  </sheetData>
  <sheetProtection algorithmName="SHA-512" hashValue="tpNxmpOJiTDob/TgDClgu3MdGexkteQn8Y+9m2EqeRK9ffoebteyFO8Uqw6rbUOYcXmAX+HvFIKfJOQbb/wnpA==" saltValue="UXkt5XsqykqunDIElygn+g==" spinCount="100000" sheet="1" formatCells="0" formatColumns="0" formatRows="0" insertColumns="0" insertRows="0" insertHyperlinks="0" deleteColumns="0" delete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Option Button 3">
              <controlPr defaultSize="0" autoFill="0" autoLine="0" autoPict="0">
                <anchor>
                  <from>
                    <xdr:col>9</xdr:col>
                    <xdr:colOff>91440</xdr:colOff>
                    <xdr:row>3</xdr:row>
                    <xdr:rowOff>15240</xdr:rowOff>
                  </from>
                  <to>
                    <xdr:col>10</xdr:col>
                    <xdr:colOff>45720</xdr:colOff>
                    <xdr:row>3</xdr:row>
                    <xdr:rowOff>228600</xdr:rowOff>
                  </to>
                </anchor>
              </controlPr>
            </control>
          </mc:Choice>
        </mc:AlternateContent>
        <mc:AlternateContent xmlns:mc="http://schemas.openxmlformats.org/markup-compatibility/2006">
          <mc:Choice Requires="x14">
            <control shapeId="1028" r:id="rId5" name="Option Button 4">
              <controlPr defaultSize="0" autoFill="0" autoLine="0" autoPict="0">
                <anchor>
                  <from>
                    <xdr:col>9</xdr:col>
                    <xdr:colOff>525780</xdr:colOff>
                    <xdr:row>3</xdr:row>
                    <xdr:rowOff>22860</xdr:rowOff>
                  </from>
                  <to>
                    <xdr:col>10</xdr:col>
                    <xdr:colOff>480060</xdr:colOff>
                    <xdr:row>3</xdr:row>
                    <xdr:rowOff>228600</xdr:rowOff>
                  </to>
                </anchor>
              </controlPr>
            </control>
          </mc:Choice>
        </mc:AlternateContent>
        <mc:AlternateContent xmlns:mc="http://schemas.openxmlformats.org/markup-compatibility/2006">
          <mc:Choice Requires="x14">
            <control shapeId="1030" r:id="rId6" name="Option Button 6">
              <controlPr defaultSize="0" autoFill="0" autoLine="0" autoPict="0" altText="Sales_x000a_">
                <anchor moveWithCells="1">
                  <from>
                    <xdr:col>3</xdr:col>
                    <xdr:colOff>2019300</xdr:colOff>
                    <xdr:row>4</xdr:row>
                    <xdr:rowOff>236220</xdr:rowOff>
                  </from>
                  <to>
                    <xdr:col>4</xdr:col>
                    <xdr:colOff>76200</xdr:colOff>
                    <xdr:row>5</xdr:row>
                    <xdr:rowOff>83820</xdr:rowOff>
                  </to>
                </anchor>
              </controlPr>
            </control>
          </mc:Choice>
        </mc:AlternateContent>
        <mc:AlternateContent xmlns:mc="http://schemas.openxmlformats.org/markup-compatibility/2006">
          <mc:Choice Requires="x14">
            <control shapeId="1031" r:id="rId7" name="Option Button 7">
              <controlPr defaultSize="0" autoFill="0" autoLine="0" autoPict="0">
                <anchor moveWithCells="1">
                  <from>
                    <xdr:col>3</xdr:col>
                    <xdr:colOff>2019300</xdr:colOff>
                    <xdr:row>5</xdr:row>
                    <xdr:rowOff>22860</xdr:rowOff>
                  </from>
                  <to>
                    <xdr:col>4</xdr:col>
                    <xdr:colOff>99060</xdr:colOff>
                    <xdr:row>5</xdr:row>
                    <xdr:rowOff>228600</xdr:rowOff>
                  </to>
                </anchor>
              </controlPr>
            </control>
          </mc:Choice>
        </mc:AlternateContent>
        <mc:AlternateContent xmlns:mc="http://schemas.openxmlformats.org/markup-compatibility/2006">
          <mc:Choice Requires="x14">
            <control shapeId="1035" r:id="rId8" name="Option Button 11">
              <controlPr defaultSize="0" autoFill="0" autoLine="0" autoPict="0" altText="Sales_x000a_">
                <anchor moveWithCells="1">
                  <from>
                    <xdr:col>6</xdr:col>
                    <xdr:colOff>1310640</xdr:colOff>
                    <xdr:row>17</xdr:row>
                    <xdr:rowOff>106680</xdr:rowOff>
                  </from>
                  <to>
                    <xdr:col>7</xdr:col>
                    <xdr:colOff>396240</xdr:colOff>
                    <xdr:row>19</xdr:row>
                    <xdr:rowOff>38100</xdr:rowOff>
                  </to>
                </anchor>
              </controlPr>
            </control>
          </mc:Choice>
        </mc:AlternateContent>
        <mc:AlternateContent xmlns:mc="http://schemas.openxmlformats.org/markup-compatibility/2006">
          <mc:Choice Requires="x14">
            <control shapeId="1036" r:id="rId9" name="Option Button 12">
              <controlPr defaultSize="0" autoFill="0" autoLine="0" autoPict="0" altText="Sales_x000a_">
                <anchor moveWithCells="1">
                  <from>
                    <xdr:col>6</xdr:col>
                    <xdr:colOff>1310640</xdr:colOff>
                    <xdr:row>18</xdr:row>
                    <xdr:rowOff>83820</xdr:rowOff>
                  </from>
                  <to>
                    <xdr:col>7</xdr:col>
                    <xdr:colOff>396240</xdr:colOff>
                    <xdr:row>20</xdr:row>
                    <xdr:rowOff>15240</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44D44-2958-4EBB-920C-871CF753C15B}">
  <sheetPr codeName="Sheet7"/>
  <dimension ref="A1:U127"/>
  <sheetViews>
    <sheetView workbookViewId="0">
      <selection sqref="A1:U127"/>
    </sheetView>
  </sheetViews>
  <sheetFormatPr defaultRowHeight="14.4" x14ac:dyDescent="0.3"/>
  <cols>
    <col min="1" max="1" width="4" bestFit="1" customWidth="1"/>
    <col min="2" max="2" width="10" bestFit="1" customWidth="1"/>
    <col min="3" max="3" width="8.5546875" bestFit="1" customWidth="1"/>
    <col min="4" max="4" width="16.21875" bestFit="1" customWidth="1"/>
    <col min="5" max="5" width="30.109375" bestFit="1" customWidth="1"/>
    <col min="6" max="6" width="23" bestFit="1" customWidth="1"/>
    <col min="7" max="7" width="12.109375" bestFit="1" customWidth="1"/>
    <col min="8" max="9" width="10.77734375" bestFit="1" customWidth="1"/>
    <col min="10" max="10" width="7.44140625" bestFit="1" customWidth="1"/>
    <col min="11" max="11" width="8.33203125" bestFit="1" customWidth="1"/>
    <col min="12" max="12" width="10" bestFit="1" customWidth="1"/>
    <col min="13" max="13" width="13.21875" bestFit="1" customWidth="1"/>
    <col min="14" max="14" width="36.21875" bestFit="1" customWidth="1"/>
    <col min="15" max="15" width="12.77734375" bestFit="1" customWidth="1"/>
    <col min="16" max="16" width="10" bestFit="1" customWidth="1"/>
    <col min="17" max="17" width="15.6640625" bestFit="1" customWidth="1"/>
    <col min="18" max="18" width="18.33203125" bestFit="1" customWidth="1"/>
    <col min="19" max="19" width="23.44140625" bestFit="1" customWidth="1"/>
    <col min="20" max="20" width="27.77734375" bestFit="1" customWidth="1"/>
    <col min="21" max="21" width="9.6640625" bestFit="1" customWidth="1"/>
  </cols>
  <sheetData>
    <row r="1" spans="1:21" x14ac:dyDescent="0.3">
      <c r="A1" t="s">
        <v>5</v>
      </c>
      <c r="B1" t="s">
        <v>181</v>
      </c>
      <c r="C1" t="s">
        <v>182</v>
      </c>
      <c r="D1" t="s">
        <v>0</v>
      </c>
      <c r="E1" t="s">
        <v>1</v>
      </c>
      <c r="F1" t="s">
        <v>6</v>
      </c>
      <c r="G1" t="s">
        <v>322</v>
      </c>
      <c r="H1" t="s">
        <v>320</v>
      </c>
      <c r="I1" t="s">
        <v>321</v>
      </c>
      <c r="J1" t="s">
        <v>174</v>
      </c>
      <c r="K1" t="s">
        <v>175</v>
      </c>
      <c r="L1" t="s">
        <v>179</v>
      </c>
      <c r="M1" t="s">
        <v>180</v>
      </c>
      <c r="N1" t="s">
        <v>2</v>
      </c>
      <c r="O1" t="s">
        <v>323</v>
      </c>
      <c r="P1" t="s">
        <v>324</v>
      </c>
      <c r="Q1" t="s">
        <v>12</v>
      </c>
      <c r="R1" t="s">
        <v>11</v>
      </c>
      <c r="S1" t="s">
        <v>3</v>
      </c>
      <c r="T1" t="s">
        <v>4</v>
      </c>
      <c r="U1" t="s">
        <v>190</v>
      </c>
    </row>
    <row r="2" spans="1:21" x14ac:dyDescent="0.3">
      <c r="A2" t="s">
        <v>325</v>
      </c>
      <c r="D2" t="s">
        <v>326</v>
      </c>
      <c r="E2" t="s">
        <v>14</v>
      </c>
      <c r="G2" t="s">
        <v>8</v>
      </c>
      <c r="H2" t="s">
        <v>150</v>
      </c>
      <c r="I2" t="s">
        <v>151</v>
      </c>
      <c r="N2" t="s">
        <v>327</v>
      </c>
      <c r="O2" t="s">
        <v>328</v>
      </c>
      <c r="P2" t="s">
        <v>16</v>
      </c>
      <c r="Q2" s="83">
        <v>45500</v>
      </c>
      <c r="R2" t="s">
        <v>18</v>
      </c>
      <c r="S2" t="s">
        <v>329</v>
      </c>
      <c r="T2" t="s">
        <v>330</v>
      </c>
      <c r="U2" t="s">
        <v>191</v>
      </c>
    </row>
    <row r="3" spans="1:21" x14ac:dyDescent="0.3">
      <c r="A3" t="s">
        <v>331</v>
      </c>
      <c r="D3" t="s">
        <v>18</v>
      </c>
      <c r="E3" t="s">
        <v>19</v>
      </c>
      <c r="G3" t="s">
        <v>8</v>
      </c>
      <c r="H3" t="s">
        <v>150</v>
      </c>
      <c r="I3" t="s">
        <v>151</v>
      </c>
      <c r="N3" t="s">
        <v>332</v>
      </c>
      <c r="O3" t="s">
        <v>328</v>
      </c>
      <c r="P3" t="s">
        <v>333</v>
      </c>
      <c r="Q3" s="83">
        <v>45501</v>
      </c>
      <c r="R3" t="s">
        <v>18</v>
      </c>
      <c r="S3" t="s">
        <v>334</v>
      </c>
      <c r="T3" t="s">
        <v>330</v>
      </c>
      <c r="U3" t="s">
        <v>191</v>
      </c>
    </row>
    <row r="4" spans="1:21" x14ac:dyDescent="0.3">
      <c r="A4" t="s">
        <v>335</v>
      </c>
      <c r="D4" t="s">
        <v>22</v>
      </c>
      <c r="E4" t="s">
        <v>336</v>
      </c>
      <c r="G4" t="s">
        <v>8</v>
      </c>
      <c r="H4" t="s">
        <v>150</v>
      </c>
      <c r="I4" t="s">
        <v>165</v>
      </c>
      <c r="J4" t="s">
        <v>155</v>
      </c>
      <c r="K4" t="s">
        <v>337</v>
      </c>
      <c r="L4" t="s">
        <v>170</v>
      </c>
      <c r="N4" t="s">
        <v>338</v>
      </c>
      <c r="O4" t="s">
        <v>339</v>
      </c>
      <c r="P4" t="s">
        <v>340</v>
      </c>
      <c r="Q4" s="83">
        <v>45500</v>
      </c>
      <c r="R4" t="s">
        <v>117</v>
      </c>
      <c r="T4" t="s">
        <v>192</v>
      </c>
      <c r="U4" t="s">
        <v>192</v>
      </c>
    </row>
    <row r="5" spans="1:21" x14ac:dyDescent="0.3">
      <c r="A5" t="s">
        <v>341</v>
      </c>
      <c r="D5" t="s">
        <v>25</v>
      </c>
      <c r="E5" t="s">
        <v>117</v>
      </c>
      <c r="G5" t="s">
        <v>8</v>
      </c>
      <c r="H5" t="s">
        <v>157</v>
      </c>
      <c r="N5" t="s">
        <v>342</v>
      </c>
      <c r="O5" t="s">
        <v>343</v>
      </c>
      <c r="P5" t="s">
        <v>16</v>
      </c>
      <c r="Q5" s="83">
        <v>45529</v>
      </c>
      <c r="R5" t="s">
        <v>344</v>
      </c>
      <c r="S5" t="s">
        <v>345</v>
      </c>
      <c r="T5" t="s">
        <v>330</v>
      </c>
      <c r="U5" t="s">
        <v>191</v>
      </c>
    </row>
    <row r="6" spans="1:21" x14ac:dyDescent="0.3">
      <c r="A6" t="s">
        <v>346</v>
      </c>
      <c r="D6" t="s">
        <v>347</v>
      </c>
      <c r="E6" t="s">
        <v>336</v>
      </c>
      <c r="G6" t="s">
        <v>8</v>
      </c>
      <c r="H6" t="s">
        <v>150</v>
      </c>
      <c r="I6" t="s">
        <v>165</v>
      </c>
      <c r="J6" t="s">
        <v>152</v>
      </c>
      <c r="K6" t="s">
        <v>348</v>
      </c>
      <c r="L6" t="s">
        <v>172</v>
      </c>
      <c r="N6" t="s">
        <v>349</v>
      </c>
      <c r="O6" t="s">
        <v>350</v>
      </c>
      <c r="P6" t="s">
        <v>351</v>
      </c>
      <c r="Q6" s="83">
        <v>45520</v>
      </c>
      <c r="R6" t="s">
        <v>352</v>
      </c>
      <c r="T6" t="s">
        <v>192</v>
      </c>
      <c r="U6" t="s">
        <v>192</v>
      </c>
    </row>
    <row r="7" spans="1:21" x14ac:dyDescent="0.3">
      <c r="A7" t="s">
        <v>353</v>
      </c>
      <c r="D7" t="s">
        <v>52</v>
      </c>
      <c r="G7" t="s">
        <v>52</v>
      </c>
      <c r="H7" t="s">
        <v>161</v>
      </c>
      <c r="I7" t="s">
        <v>164</v>
      </c>
      <c r="N7" t="s">
        <v>354</v>
      </c>
      <c r="O7" t="s">
        <v>355</v>
      </c>
      <c r="P7" t="s">
        <v>16</v>
      </c>
      <c r="Q7" s="83">
        <v>45518</v>
      </c>
      <c r="R7" t="s">
        <v>356</v>
      </c>
      <c r="S7" t="s">
        <v>357</v>
      </c>
      <c r="T7" t="s">
        <v>330</v>
      </c>
      <c r="U7" t="s">
        <v>191</v>
      </c>
    </row>
    <row r="8" spans="1:21" x14ac:dyDescent="0.3">
      <c r="A8" t="s">
        <v>358</v>
      </c>
      <c r="D8" t="s">
        <v>359</v>
      </c>
      <c r="E8" t="s">
        <v>34</v>
      </c>
      <c r="G8" t="s">
        <v>35</v>
      </c>
      <c r="H8" t="s">
        <v>161</v>
      </c>
      <c r="I8" t="s">
        <v>164</v>
      </c>
      <c r="N8" t="s">
        <v>354</v>
      </c>
      <c r="O8" t="s">
        <v>360</v>
      </c>
      <c r="P8" t="s">
        <v>360</v>
      </c>
      <c r="Q8" s="83">
        <v>45521</v>
      </c>
      <c r="R8" t="s">
        <v>361</v>
      </c>
      <c r="S8" t="s">
        <v>362</v>
      </c>
      <c r="T8" t="s">
        <v>363</v>
      </c>
      <c r="U8" t="s">
        <v>191</v>
      </c>
    </row>
    <row r="9" spans="1:21" x14ac:dyDescent="0.3">
      <c r="A9" t="s">
        <v>364</v>
      </c>
      <c r="D9" t="s">
        <v>38</v>
      </c>
      <c r="E9" t="s">
        <v>278</v>
      </c>
      <c r="G9" t="s">
        <v>8</v>
      </c>
      <c r="H9" t="s">
        <v>150</v>
      </c>
      <c r="I9" t="s">
        <v>153</v>
      </c>
      <c r="N9" t="s">
        <v>365</v>
      </c>
      <c r="O9" t="s">
        <v>366</v>
      </c>
      <c r="P9" t="s">
        <v>16</v>
      </c>
      <c r="Q9" s="83">
        <v>45529</v>
      </c>
      <c r="R9" t="s">
        <v>356</v>
      </c>
      <c r="S9" t="s">
        <v>367</v>
      </c>
      <c r="T9" t="s">
        <v>330</v>
      </c>
      <c r="U9" t="s">
        <v>191</v>
      </c>
    </row>
    <row r="10" spans="1:21" x14ac:dyDescent="0.3">
      <c r="A10" t="s">
        <v>368</v>
      </c>
      <c r="D10" t="s">
        <v>43</v>
      </c>
      <c r="E10" t="s">
        <v>42</v>
      </c>
      <c r="G10" t="s">
        <v>43</v>
      </c>
      <c r="H10" t="s">
        <v>158</v>
      </c>
      <c r="I10" t="s">
        <v>160</v>
      </c>
      <c r="N10" t="s">
        <v>369</v>
      </c>
      <c r="O10" t="s">
        <v>370</v>
      </c>
      <c r="P10" t="s">
        <v>370</v>
      </c>
      <c r="Q10" s="83">
        <v>45523</v>
      </c>
      <c r="R10" t="s">
        <v>371</v>
      </c>
      <c r="S10" t="s">
        <v>372</v>
      </c>
      <c r="U10" t="s">
        <v>191</v>
      </c>
    </row>
    <row r="11" spans="1:21" x14ac:dyDescent="0.3">
      <c r="A11" t="s">
        <v>373</v>
      </c>
      <c r="D11" t="s">
        <v>43</v>
      </c>
      <c r="E11" t="s">
        <v>42</v>
      </c>
      <c r="G11" t="s">
        <v>43</v>
      </c>
      <c r="H11" t="s">
        <v>161</v>
      </c>
      <c r="I11" t="s">
        <v>159</v>
      </c>
      <c r="N11" t="s">
        <v>45</v>
      </c>
      <c r="O11" t="s">
        <v>374</v>
      </c>
      <c r="P11" t="s">
        <v>374</v>
      </c>
      <c r="Q11" s="83"/>
      <c r="T11" t="s">
        <v>375</v>
      </c>
      <c r="U11" t="s">
        <v>193</v>
      </c>
    </row>
    <row r="12" spans="1:21" x14ac:dyDescent="0.3">
      <c r="A12" t="s">
        <v>376</v>
      </c>
      <c r="D12" t="s">
        <v>43</v>
      </c>
      <c r="E12" t="s">
        <v>42</v>
      </c>
      <c r="G12" t="s">
        <v>43</v>
      </c>
      <c r="H12" t="s">
        <v>161</v>
      </c>
      <c r="I12" t="s">
        <v>159</v>
      </c>
      <c r="N12" t="s">
        <v>377</v>
      </c>
      <c r="O12" t="s">
        <v>378</v>
      </c>
      <c r="P12" t="s">
        <v>360</v>
      </c>
      <c r="Q12" s="83">
        <v>45529</v>
      </c>
      <c r="R12" t="s">
        <v>379</v>
      </c>
      <c r="S12" t="s">
        <v>372</v>
      </c>
      <c r="T12" t="s">
        <v>380</v>
      </c>
      <c r="U12" t="s">
        <v>191</v>
      </c>
    </row>
    <row r="13" spans="1:21" x14ac:dyDescent="0.3">
      <c r="A13" t="s">
        <v>381</v>
      </c>
      <c r="D13" t="s">
        <v>43</v>
      </c>
      <c r="E13" t="s">
        <v>42</v>
      </c>
      <c r="G13" t="s">
        <v>43</v>
      </c>
      <c r="H13" t="s">
        <v>161</v>
      </c>
      <c r="I13" t="s">
        <v>159</v>
      </c>
      <c r="N13" t="s">
        <v>377</v>
      </c>
      <c r="O13" t="s">
        <v>378</v>
      </c>
      <c r="P13" t="s">
        <v>360</v>
      </c>
      <c r="Q13" s="83">
        <v>45529</v>
      </c>
      <c r="R13" t="s">
        <v>379</v>
      </c>
      <c r="S13" t="s">
        <v>372</v>
      </c>
      <c r="T13" t="s">
        <v>380</v>
      </c>
      <c r="U13" t="s">
        <v>191</v>
      </c>
    </row>
    <row r="14" spans="1:21" x14ac:dyDescent="0.3">
      <c r="A14" t="s">
        <v>382</v>
      </c>
      <c r="D14" t="s">
        <v>383</v>
      </c>
      <c r="E14" t="s">
        <v>49</v>
      </c>
      <c r="G14" t="s">
        <v>8</v>
      </c>
      <c r="H14" t="s">
        <v>150</v>
      </c>
      <c r="I14" t="s">
        <v>165</v>
      </c>
      <c r="J14" t="s">
        <v>152</v>
      </c>
      <c r="K14" t="s">
        <v>384</v>
      </c>
      <c r="L14" t="s">
        <v>167</v>
      </c>
      <c r="N14" t="s">
        <v>50</v>
      </c>
      <c r="O14" t="s">
        <v>385</v>
      </c>
      <c r="P14" t="s">
        <v>386</v>
      </c>
      <c r="Q14" s="83">
        <v>45536</v>
      </c>
      <c r="R14" t="s">
        <v>387</v>
      </c>
      <c r="S14" t="s">
        <v>388</v>
      </c>
      <c r="T14" t="s">
        <v>330</v>
      </c>
      <c r="U14" t="s">
        <v>191</v>
      </c>
    </row>
    <row r="15" spans="1:21" x14ac:dyDescent="0.3">
      <c r="A15" t="s">
        <v>389</v>
      </c>
      <c r="B15" t="s">
        <v>390</v>
      </c>
      <c r="C15" t="s">
        <v>391</v>
      </c>
      <c r="D15" t="s">
        <v>392</v>
      </c>
      <c r="E15" t="s">
        <v>278</v>
      </c>
      <c r="G15" t="s">
        <v>8</v>
      </c>
      <c r="H15" t="s">
        <v>150</v>
      </c>
      <c r="I15" t="s">
        <v>153</v>
      </c>
      <c r="J15" t="s">
        <v>152</v>
      </c>
      <c r="K15" t="s">
        <v>384</v>
      </c>
      <c r="L15" t="s">
        <v>167</v>
      </c>
      <c r="N15" t="s">
        <v>66</v>
      </c>
      <c r="O15" t="s">
        <v>393</v>
      </c>
      <c r="P15" t="s">
        <v>394</v>
      </c>
      <c r="Q15" s="83">
        <v>45540</v>
      </c>
      <c r="R15" t="s">
        <v>395</v>
      </c>
      <c r="U15" t="s">
        <v>193</v>
      </c>
    </row>
    <row r="16" spans="1:21" x14ac:dyDescent="0.3">
      <c r="A16" t="s">
        <v>396</v>
      </c>
      <c r="B16" t="s">
        <v>397</v>
      </c>
      <c r="C16" t="s">
        <v>398</v>
      </c>
      <c r="D16" t="s">
        <v>399</v>
      </c>
      <c r="E16" t="s">
        <v>400</v>
      </c>
      <c r="G16" t="s">
        <v>8</v>
      </c>
      <c r="H16" t="s">
        <v>157</v>
      </c>
      <c r="I16" t="s">
        <v>187</v>
      </c>
      <c r="N16" t="s">
        <v>401</v>
      </c>
      <c r="O16" t="s">
        <v>402</v>
      </c>
      <c r="P16" t="s">
        <v>16</v>
      </c>
      <c r="Q16" s="83">
        <v>45539</v>
      </c>
      <c r="R16" t="s">
        <v>387</v>
      </c>
      <c r="S16" t="s">
        <v>403</v>
      </c>
      <c r="T16" t="s">
        <v>330</v>
      </c>
      <c r="U16" t="s">
        <v>208</v>
      </c>
    </row>
    <row r="17" spans="1:21" x14ac:dyDescent="0.3">
      <c r="A17" t="s">
        <v>404</v>
      </c>
      <c r="D17" t="s">
        <v>405</v>
      </c>
      <c r="E17" t="s">
        <v>34</v>
      </c>
      <c r="G17" t="s">
        <v>406</v>
      </c>
      <c r="H17" t="s">
        <v>150</v>
      </c>
      <c r="I17" t="s">
        <v>165</v>
      </c>
      <c r="J17" t="s">
        <v>155</v>
      </c>
      <c r="K17" t="s">
        <v>407</v>
      </c>
      <c r="L17" t="s">
        <v>168</v>
      </c>
      <c r="N17" t="s">
        <v>408</v>
      </c>
      <c r="O17" t="s">
        <v>409</v>
      </c>
      <c r="P17" t="s">
        <v>410</v>
      </c>
      <c r="Q17" s="83">
        <v>45538</v>
      </c>
      <c r="R17" t="s">
        <v>387</v>
      </c>
      <c r="S17" t="s">
        <v>379</v>
      </c>
      <c r="T17" t="s">
        <v>380</v>
      </c>
      <c r="U17" t="s">
        <v>191</v>
      </c>
    </row>
    <row r="18" spans="1:21" x14ac:dyDescent="0.3">
      <c r="A18" t="s">
        <v>411</v>
      </c>
      <c r="D18" t="s">
        <v>405</v>
      </c>
      <c r="E18" t="s">
        <v>34</v>
      </c>
      <c r="G18" t="s">
        <v>406</v>
      </c>
      <c r="H18" t="s">
        <v>150</v>
      </c>
      <c r="I18" t="s">
        <v>165</v>
      </c>
      <c r="J18" t="s">
        <v>155</v>
      </c>
      <c r="K18" t="s">
        <v>407</v>
      </c>
      <c r="L18" t="s">
        <v>168</v>
      </c>
      <c r="N18" t="s">
        <v>408</v>
      </c>
      <c r="O18" t="s">
        <v>409</v>
      </c>
      <c r="P18" t="s">
        <v>410</v>
      </c>
      <c r="Q18" s="83">
        <v>45538</v>
      </c>
      <c r="R18" t="s">
        <v>387</v>
      </c>
      <c r="S18" t="s">
        <v>379</v>
      </c>
      <c r="T18" t="s">
        <v>380</v>
      </c>
      <c r="U18" t="s">
        <v>191</v>
      </c>
    </row>
    <row r="19" spans="1:21" x14ac:dyDescent="0.3">
      <c r="A19" t="s">
        <v>412</v>
      </c>
      <c r="B19" t="s">
        <v>413</v>
      </c>
      <c r="C19" t="s">
        <v>414</v>
      </c>
      <c r="D19" t="s">
        <v>58</v>
      </c>
      <c r="E19" t="s">
        <v>415</v>
      </c>
      <c r="G19" t="s">
        <v>8</v>
      </c>
      <c r="H19" t="s">
        <v>150</v>
      </c>
      <c r="I19" t="s">
        <v>165</v>
      </c>
      <c r="J19" t="s">
        <v>154</v>
      </c>
      <c r="K19" t="s">
        <v>384</v>
      </c>
      <c r="L19" t="s">
        <v>167</v>
      </c>
      <c r="N19" t="s">
        <v>416</v>
      </c>
      <c r="O19" t="s">
        <v>417</v>
      </c>
      <c r="P19" t="s">
        <v>418</v>
      </c>
      <c r="Q19" s="83">
        <v>45539</v>
      </c>
      <c r="R19" t="s">
        <v>419</v>
      </c>
      <c r="U19" t="s">
        <v>193</v>
      </c>
    </row>
    <row r="20" spans="1:21" x14ac:dyDescent="0.3">
      <c r="A20" t="s">
        <v>420</v>
      </c>
      <c r="B20" t="s">
        <v>421</v>
      </c>
      <c r="C20" t="s">
        <v>422</v>
      </c>
      <c r="D20" t="s">
        <v>359</v>
      </c>
      <c r="E20" t="s">
        <v>67</v>
      </c>
      <c r="G20" t="s">
        <v>8</v>
      </c>
      <c r="H20" t="s">
        <v>150</v>
      </c>
      <c r="I20" t="s">
        <v>153</v>
      </c>
      <c r="J20" t="s">
        <v>177</v>
      </c>
      <c r="K20" t="s">
        <v>384</v>
      </c>
      <c r="L20" t="s">
        <v>167</v>
      </c>
      <c r="N20" t="s">
        <v>68</v>
      </c>
      <c r="O20" t="s">
        <v>423</v>
      </c>
      <c r="P20" t="s">
        <v>16</v>
      </c>
      <c r="Q20" s="83">
        <v>45541</v>
      </c>
      <c r="R20" t="s">
        <v>387</v>
      </c>
      <c r="S20" t="s">
        <v>424</v>
      </c>
      <c r="T20" t="s">
        <v>380</v>
      </c>
      <c r="U20" t="s">
        <v>198</v>
      </c>
    </row>
    <row r="21" spans="1:21" x14ac:dyDescent="0.3">
      <c r="A21" t="s">
        <v>425</v>
      </c>
      <c r="D21" t="s">
        <v>43</v>
      </c>
      <c r="E21" t="s">
        <v>42</v>
      </c>
      <c r="G21" t="s">
        <v>43</v>
      </c>
      <c r="H21" t="s">
        <v>162</v>
      </c>
      <c r="I21" t="s">
        <v>163</v>
      </c>
      <c r="N21" t="s">
        <v>426</v>
      </c>
      <c r="O21" t="s">
        <v>427</v>
      </c>
      <c r="P21" t="s">
        <v>427</v>
      </c>
      <c r="Q21" s="83">
        <v>45539</v>
      </c>
      <c r="R21" t="s">
        <v>379</v>
      </c>
      <c r="S21" t="s">
        <v>372</v>
      </c>
      <c r="T21" t="s">
        <v>380</v>
      </c>
      <c r="U21" t="s">
        <v>191</v>
      </c>
    </row>
    <row r="22" spans="1:21" x14ac:dyDescent="0.3">
      <c r="A22" t="s">
        <v>428</v>
      </c>
      <c r="B22" t="s">
        <v>429</v>
      </c>
      <c r="C22" t="s">
        <v>422</v>
      </c>
      <c r="D22" t="s">
        <v>359</v>
      </c>
      <c r="E22" t="s">
        <v>67</v>
      </c>
      <c r="G22" t="s">
        <v>8</v>
      </c>
      <c r="H22" t="s">
        <v>150</v>
      </c>
      <c r="I22" t="s">
        <v>153</v>
      </c>
      <c r="J22" t="s">
        <v>177</v>
      </c>
      <c r="K22" t="s">
        <v>384</v>
      </c>
      <c r="L22" t="s">
        <v>167</v>
      </c>
      <c r="N22" t="s">
        <v>68</v>
      </c>
      <c r="O22" t="s">
        <v>423</v>
      </c>
      <c r="P22" t="s">
        <v>16</v>
      </c>
      <c r="Q22" s="83">
        <v>45541</v>
      </c>
      <c r="R22" t="s">
        <v>387</v>
      </c>
      <c r="S22" t="s">
        <v>424</v>
      </c>
      <c r="T22" t="s">
        <v>380</v>
      </c>
      <c r="U22" t="s">
        <v>198</v>
      </c>
    </row>
    <row r="23" spans="1:21" x14ac:dyDescent="0.3">
      <c r="A23" t="s">
        <v>430</v>
      </c>
      <c r="B23" t="s">
        <v>431</v>
      </c>
      <c r="C23" t="s">
        <v>422</v>
      </c>
      <c r="D23" t="s">
        <v>359</v>
      </c>
      <c r="E23" t="s">
        <v>67</v>
      </c>
      <c r="G23" t="s">
        <v>8</v>
      </c>
      <c r="H23" t="s">
        <v>150</v>
      </c>
      <c r="I23" t="s">
        <v>153</v>
      </c>
      <c r="J23" t="s">
        <v>177</v>
      </c>
      <c r="K23" t="s">
        <v>384</v>
      </c>
      <c r="L23" t="s">
        <v>167</v>
      </c>
      <c r="N23" t="s">
        <v>68</v>
      </c>
      <c r="O23" t="s">
        <v>423</v>
      </c>
      <c r="P23" t="s">
        <v>16</v>
      </c>
      <c r="Q23" s="83">
        <v>45541</v>
      </c>
      <c r="R23" t="s">
        <v>387</v>
      </c>
      <c r="S23" t="s">
        <v>424</v>
      </c>
      <c r="T23" t="s">
        <v>380</v>
      </c>
      <c r="U23" t="s">
        <v>198</v>
      </c>
    </row>
    <row r="24" spans="1:21" x14ac:dyDescent="0.3">
      <c r="A24" t="s">
        <v>432</v>
      </c>
      <c r="B24" t="s">
        <v>433</v>
      </c>
      <c r="C24" t="s">
        <v>422</v>
      </c>
      <c r="D24" t="s">
        <v>359</v>
      </c>
      <c r="E24" t="s">
        <v>67</v>
      </c>
      <c r="G24" t="s">
        <v>8</v>
      </c>
      <c r="H24" t="s">
        <v>150</v>
      </c>
      <c r="I24" t="s">
        <v>153</v>
      </c>
      <c r="J24" t="s">
        <v>177</v>
      </c>
      <c r="K24" t="s">
        <v>384</v>
      </c>
      <c r="L24" t="s">
        <v>167</v>
      </c>
      <c r="N24" t="s">
        <v>68</v>
      </c>
      <c r="O24" t="s">
        <v>423</v>
      </c>
      <c r="P24" t="s">
        <v>16</v>
      </c>
      <c r="Q24" s="83">
        <v>45541</v>
      </c>
      <c r="R24" t="s">
        <v>387</v>
      </c>
      <c r="S24" t="s">
        <v>424</v>
      </c>
      <c r="T24" t="s">
        <v>380</v>
      </c>
      <c r="U24" t="s">
        <v>198</v>
      </c>
    </row>
    <row r="25" spans="1:21" x14ac:dyDescent="0.3">
      <c r="A25" t="s">
        <v>434</v>
      </c>
      <c r="B25" t="s">
        <v>435</v>
      </c>
      <c r="C25" t="s">
        <v>436</v>
      </c>
      <c r="D25" t="s">
        <v>106</v>
      </c>
      <c r="E25" t="s">
        <v>107</v>
      </c>
      <c r="G25" t="s">
        <v>8</v>
      </c>
      <c r="H25" t="s">
        <v>157</v>
      </c>
      <c r="I25" t="s">
        <v>187</v>
      </c>
      <c r="N25" t="s">
        <v>401</v>
      </c>
      <c r="O25" t="s">
        <v>437</v>
      </c>
      <c r="P25" t="s">
        <v>16</v>
      </c>
      <c r="Q25" s="83">
        <v>45538</v>
      </c>
      <c r="R25" t="s">
        <v>438</v>
      </c>
      <c r="U25" t="s">
        <v>193</v>
      </c>
    </row>
    <row r="26" spans="1:21" x14ac:dyDescent="0.3">
      <c r="A26" t="s">
        <v>439</v>
      </c>
      <c r="B26" t="s">
        <v>440</v>
      </c>
      <c r="C26" t="s">
        <v>441</v>
      </c>
      <c r="D26" t="s">
        <v>69</v>
      </c>
      <c r="E26" t="s">
        <v>278</v>
      </c>
      <c r="G26" t="s">
        <v>8</v>
      </c>
      <c r="H26" t="s">
        <v>150</v>
      </c>
      <c r="I26" t="s">
        <v>153</v>
      </c>
      <c r="J26" t="s">
        <v>156</v>
      </c>
      <c r="K26" t="s">
        <v>407</v>
      </c>
      <c r="L26" t="s">
        <v>167</v>
      </c>
      <c r="N26" t="s">
        <v>70</v>
      </c>
      <c r="O26" t="s">
        <v>442</v>
      </c>
      <c r="P26" t="s">
        <v>16</v>
      </c>
      <c r="Q26" s="83">
        <v>45544</v>
      </c>
      <c r="R26" t="s">
        <v>372</v>
      </c>
      <c r="S26" t="s">
        <v>424</v>
      </c>
      <c r="T26" t="s">
        <v>380</v>
      </c>
      <c r="U26" t="s">
        <v>191</v>
      </c>
    </row>
    <row r="27" spans="1:21" x14ac:dyDescent="0.3">
      <c r="A27" t="s">
        <v>443</v>
      </c>
      <c r="D27" t="s">
        <v>52</v>
      </c>
      <c r="G27" t="s">
        <v>52</v>
      </c>
      <c r="H27" t="s">
        <v>150</v>
      </c>
      <c r="I27" t="s">
        <v>165</v>
      </c>
      <c r="J27" t="s">
        <v>154</v>
      </c>
      <c r="K27" t="s">
        <v>348</v>
      </c>
      <c r="L27" t="s">
        <v>167</v>
      </c>
      <c r="N27" t="s">
        <v>444</v>
      </c>
      <c r="O27" t="s">
        <v>445</v>
      </c>
      <c r="P27" t="s">
        <v>446</v>
      </c>
      <c r="Q27" s="83">
        <v>45536</v>
      </c>
      <c r="R27" t="s">
        <v>447</v>
      </c>
      <c r="S27" t="s">
        <v>424</v>
      </c>
      <c r="T27" t="s">
        <v>380</v>
      </c>
      <c r="U27" t="s">
        <v>198</v>
      </c>
    </row>
    <row r="28" spans="1:21" x14ac:dyDescent="0.3">
      <c r="A28" t="s">
        <v>448</v>
      </c>
      <c r="D28" t="s">
        <v>52</v>
      </c>
      <c r="G28" t="s">
        <v>52</v>
      </c>
      <c r="H28" t="s">
        <v>150</v>
      </c>
      <c r="I28" t="s">
        <v>165</v>
      </c>
      <c r="J28" t="s">
        <v>154</v>
      </c>
      <c r="K28" t="s">
        <v>348</v>
      </c>
      <c r="L28" t="s">
        <v>168</v>
      </c>
      <c r="N28" t="s">
        <v>449</v>
      </c>
      <c r="O28" t="s">
        <v>445</v>
      </c>
      <c r="P28" t="s">
        <v>450</v>
      </c>
      <c r="Q28" s="83">
        <v>45536</v>
      </c>
      <c r="R28" t="s">
        <v>447</v>
      </c>
      <c r="S28" t="s">
        <v>424</v>
      </c>
      <c r="T28" t="s">
        <v>380</v>
      </c>
      <c r="U28" t="s">
        <v>198</v>
      </c>
    </row>
    <row r="29" spans="1:21" x14ac:dyDescent="0.3">
      <c r="A29" t="s">
        <v>451</v>
      </c>
      <c r="D29" t="s">
        <v>83</v>
      </c>
      <c r="E29" t="s">
        <v>452</v>
      </c>
      <c r="G29" t="s">
        <v>406</v>
      </c>
      <c r="H29" t="s">
        <v>150</v>
      </c>
      <c r="I29" t="s">
        <v>153</v>
      </c>
      <c r="J29" t="s">
        <v>177</v>
      </c>
      <c r="K29" t="s">
        <v>407</v>
      </c>
      <c r="L29" t="s">
        <v>167</v>
      </c>
      <c r="N29" t="s">
        <v>87</v>
      </c>
      <c r="O29" t="s">
        <v>453</v>
      </c>
      <c r="P29" t="s">
        <v>85</v>
      </c>
      <c r="Q29" s="83">
        <v>45547</v>
      </c>
      <c r="R29" t="s">
        <v>424</v>
      </c>
      <c r="S29" t="s">
        <v>454</v>
      </c>
      <c r="T29" t="s">
        <v>380</v>
      </c>
      <c r="U29" t="s">
        <v>191</v>
      </c>
    </row>
    <row r="30" spans="1:21" x14ac:dyDescent="0.3">
      <c r="A30" t="s">
        <v>455</v>
      </c>
      <c r="D30" t="s">
        <v>83</v>
      </c>
      <c r="E30" t="s">
        <v>452</v>
      </c>
      <c r="G30" t="s">
        <v>406</v>
      </c>
      <c r="H30" t="s">
        <v>150</v>
      </c>
      <c r="I30" t="s">
        <v>153</v>
      </c>
      <c r="J30" t="s">
        <v>177</v>
      </c>
      <c r="K30" t="s">
        <v>407</v>
      </c>
      <c r="L30" t="s">
        <v>167</v>
      </c>
      <c r="N30" t="s">
        <v>87</v>
      </c>
      <c r="O30" t="s">
        <v>453</v>
      </c>
      <c r="P30" t="s">
        <v>85</v>
      </c>
      <c r="Q30" s="83">
        <v>45547</v>
      </c>
      <c r="R30" t="s">
        <v>424</v>
      </c>
      <c r="S30" t="s">
        <v>454</v>
      </c>
      <c r="T30" t="s">
        <v>380</v>
      </c>
      <c r="U30" t="s">
        <v>191</v>
      </c>
    </row>
    <row r="31" spans="1:21" x14ac:dyDescent="0.3">
      <c r="A31" t="s">
        <v>456</v>
      </c>
      <c r="D31" t="s">
        <v>83</v>
      </c>
      <c r="E31" t="s">
        <v>452</v>
      </c>
      <c r="G31" t="s">
        <v>406</v>
      </c>
      <c r="H31" t="s">
        <v>150</v>
      </c>
      <c r="I31" t="s">
        <v>153</v>
      </c>
      <c r="J31" t="s">
        <v>169</v>
      </c>
      <c r="K31" t="s">
        <v>407</v>
      </c>
      <c r="L31" t="s">
        <v>168</v>
      </c>
      <c r="N31" t="s">
        <v>457</v>
      </c>
      <c r="O31" t="s">
        <v>453</v>
      </c>
      <c r="P31" t="s">
        <v>16</v>
      </c>
      <c r="Q31" s="83">
        <v>45547</v>
      </c>
      <c r="R31" t="s">
        <v>424</v>
      </c>
      <c r="S31" t="s">
        <v>454</v>
      </c>
      <c r="T31" t="s">
        <v>380</v>
      </c>
      <c r="U31" t="s">
        <v>191</v>
      </c>
    </row>
    <row r="32" spans="1:21" x14ac:dyDescent="0.3">
      <c r="A32" t="s">
        <v>458</v>
      </c>
      <c r="D32" t="s">
        <v>83</v>
      </c>
      <c r="E32" t="s">
        <v>452</v>
      </c>
      <c r="G32" t="s">
        <v>406</v>
      </c>
      <c r="H32" t="s">
        <v>150</v>
      </c>
      <c r="I32" t="s">
        <v>153</v>
      </c>
      <c r="J32" t="s">
        <v>169</v>
      </c>
      <c r="K32" t="s">
        <v>407</v>
      </c>
      <c r="L32" t="s">
        <v>168</v>
      </c>
      <c r="N32" t="s">
        <v>457</v>
      </c>
      <c r="O32" t="s">
        <v>453</v>
      </c>
      <c r="P32" t="s">
        <v>16</v>
      </c>
      <c r="Q32" s="83">
        <v>45547</v>
      </c>
      <c r="R32" t="s">
        <v>424</v>
      </c>
      <c r="S32" t="s">
        <v>454</v>
      </c>
      <c r="T32" t="s">
        <v>380</v>
      </c>
      <c r="U32" t="s">
        <v>191</v>
      </c>
    </row>
    <row r="33" spans="1:21" x14ac:dyDescent="0.3">
      <c r="A33" t="s">
        <v>459</v>
      </c>
      <c r="B33" t="s">
        <v>460</v>
      </c>
      <c r="C33" t="s">
        <v>461</v>
      </c>
      <c r="D33" t="s">
        <v>147</v>
      </c>
      <c r="E33" t="s">
        <v>462</v>
      </c>
      <c r="G33" t="s">
        <v>8</v>
      </c>
      <c r="H33" t="s">
        <v>157</v>
      </c>
      <c r="I33" t="s">
        <v>189</v>
      </c>
      <c r="N33" t="s">
        <v>463</v>
      </c>
      <c r="O33" t="s">
        <v>464</v>
      </c>
      <c r="P33" t="s">
        <v>16</v>
      </c>
      <c r="Q33" s="83">
        <v>45549</v>
      </c>
      <c r="R33" t="s">
        <v>454</v>
      </c>
      <c r="S33" t="s">
        <v>465</v>
      </c>
      <c r="T33" t="s">
        <v>330</v>
      </c>
      <c r="U33" t="s">
        <v>191</v>
      </c>
    </row>
    <row r="34" spans="1:21" x14ac:dyDescent="0.3">
      <c r="A34" t="s">
        <v>466</v>
      </c>
      <c r="B34" t="s">
        <v>467</v>
      </c>
      <c r="C34" t="s">
        <v>468</v>
      </c>
      <c r="D34" t="s">
        <v>469</v>
      </c>
      <c r="E34" t="s">
        <v>310</v>
      </c>
      <c r="G34" t="s">
        <v>8</v>
      </c>
      <c r="H34" t="s">
        <v>157</v>
      </c>
      <c r="I34" t="s">
        <v>187</v>
      </c>
      <c r="N34" t="s">
        <v>401</v>
      </c>
      <c r="O34" t="s">
        <v>402</v>
      </c>
      <c r="P34" t="s">
        <v>470</v>
      </c>
      <c r="Q34" s="83">
        <v>45547</v>
      </c>
      <c r="R34" t="s">
        <v>471</v>
      </c>
      <c r="S34" t="s">
        <v>330</v>
      </c>
      <c r="T34" t="s">
        <v>330</v>
      </c>
      <c r="U34" t="s">
        <v>194</v>
      </c>
    </row>
    <row r="35" spans="1:21" x14ac:dyDescent="0.3">
      <c r="A35" t="s">
        <v>472</v>
      </c>
      <c r="D35" t="s">
        <v>79</v>
      </c>
      <c r="E35" t="s">
        <v>473</v>
      </c>
      <c r="F35" t="s">
        <v>81</v>
      </c>
      <c r="G35" t="s">
        <v>35</v>
      </c>
      <c r="H35" t="s">
        <v>150</v>
      </c>
      <c r="I35" t="s">
        <v>171</v>
      </c>
      <c r="J35" t="s">
        <v>155</v>
      </c>
      <c r="K35" t="s">
        <v>348</v>
      </c>
      <c r="L35" t="s">
        <v>168</v>
      </c>
      <c r="N35" t="s">
        <v>474</v>
      </c>
      <c r="O35" t="s">
        <v>475</v>
      </c>
      <c r="P35" t="s">
        <v>475</v>
      </c>
      <c r="Q35" s="83">
        <v>45547</v>
      </c>
      <c r="R35" t="s">
        <v>471</v>
      </c>
      <c r="U35" t="s">
        <v>236</v>
      </c>
    </row>
    <row r="36" spans="1:21" x14ac:dyDescent="0.3">
      <c r="A36" t="s">
        <v>476</v>
      </c>
      <c r="B36" t="s">
        <v>477</v>
      </c>
      <c r="C36" t="s">
        <v>478</v>
      </c>
      <c r="D36" t="s">
        <v>479</v>
      </c>
      <c r="E36" t="s">
        <v>67</v>
      </c>
      <c r="G36" t="s">
        <v>8</v>
      </c>
      <c r="H36" t="s">
        <v>150</v>
      </c>
      <c r="I36" t="s">
        <v>153</v>
      </c>
      <c r="J36" t="s">
        <v>156</v>
      </c>
      <c r="K36" t="s">
        <v>407</v>
      </c>
      <c r="L36" t="s">
        <v>168</v>
      </c>
      <c r="N36" t="s">
        <v>96</v>
      </c>
      <c r="O36" t="s">
        <v>480</v>
      </c>
      <c r="P36" t="s">
        <v>16</v>
      </c>
      <c r="Q36" s="83">
        <v>45548</v>
      </c>
      <c r="R36" t="s">
        <v>471</v>
      </c>
      <c r="S36" t="s">
        <v>481</v>
      </c>
      <c r="T36" t="s">
        <v>380</v>
      </c>
      <c r="U36" t="s">
        <v>198</v>
      </c>
    </row>
    <row r="37" spans="1:21" x14ac:dyDescent="0.3">
      <c r="A37" t="s">
        <v>482</v>
      </c>
      <c r="B37" t="s">
        <v>483</v>
      </c>
      <c r="C37" t="s">
        <v>484</v>
      </c>
      <c r="D37" t="s">
        <v>485</v>
      </c>
      <c r="E37" t="s">
        <v>278</v>
      </c>
      <c r="G37" t="s">
        <v>8</v>
      </c>
      <c r="H37" t="s">
        <v>150</v>
      </c>
      <c r="I37" t="s">
        <v>165</v>
      </c>
      <c r="J37" t="s">
        <v>155</v>
      </c>
      <c r="K37" t="s">
        <v>407</v>
      </c>
      <c r="L37" t="s">
        <v>172</v>
      </c>
      <c r="N37" t="s">
        <v>486</v>
      </c>
      <c r="O37" t="s">
        <v>487</v>
      </c>
      <c r="P37" t="s">
        <v>16</v>
      </c>
      <c r="Q37" s="83">
        <v>45549</v>
      </c>
      <c r="R37" t="s">
        <v>488</v>
      </c>
      <c r="S37" t="s">
        <v>489</v>
      </c>
      <c r="T37" t="s">
        <v>380</v>
      </c>
      <c r="U37" t="s">
        <v>198</v>
      </c>
    </row>
    <row r="38" spans="1:21" x14ac:dyDescent="0.3">
      <c r="A38" t="s">
        <v>490</v>
      </c>
      <c r="B38" t="s">
        <v>491</v>
      </c>
      <c r="C38" t="s">
        <v>492</v>
      </c>
      <c r="D38" t="s">
        <v>493</v>
      </c>
      <c r="E38" t="s">
        <v>494</v>
      </c>
      <c r="G38" t="s">
        <v>8</v>
      </c>
      <c r="H38" t="s">
        <v>150</v>
      </c>
      <c r="I38" t="s">
        <v>165</v>
      </c>
      <c r="J38" t="s">
        <v>152</v>
      </c>
      <c r="K38" t="s">
        <v>337</v>
      </c>
      <c r="L38" t="s">
        <v>168</v>
      </c>
      <c r="N38" t="s">
        <v>495</v>
      </c>
      <c r="O38" t="s">
        <v>496</v>
      </c>
      <c r="P38" t="s">
        <v>16</v>
      </c>
      <c r="Q38" s="83">
        <v>45547</v>
      </c>
      <c r="R38" t="s">
        <v>497</v>
      </c>
    </row>
    <row r="39" spans="1:21" x14ac:dyDescent="0.3">
      <c r="A39" t="s">
        <v>498</v>
      </c>
      <c r="B39" t="s">
        <v>499</v>
      </c>
      <c r="C39" t="s">
        <v>500</v>
      </c>
      <c r="D39" t="s">
        <v>501</v>
      </c>
      <c r="E39" t="s">
        <v>502</v>
      </c>
      <c r="G39" t="s">
        <v>8</v>
      </c>
      <c r="H39" t="s">
        <v>150</v>
      </c>
      <c r="I39" t="s">
        <v>165</v>
      </c>
      <c r="J39" t="s">
        <v>155</v>
      </c>
      <c r="K39" t="s">
        <v>348</v>
      </c>
      <c r="L39" t="s">
        <v>168</v>
      </c>
      <c r="N39" t="s">
        <v>503</v>
      </c>
      <c r="O39" t="s">
        <v>504</v>
      </c>
      <c r="P39" t="s">
        <v>505</v>
      </c>
      <c r="Q39" s="83">
        <v>45547</v>
      </c>
      <c r="R39" t="s">
        <v>497</v>
      </c>
      <c r="S39" t="s">
        <v>489</v>
      </c>
      <c r="T39" t="s">
        <v>380</v>
      </c>
      <c r="U39" t="s">
        <v>198</v>
      </c>
    </row>
    <row r="40" spans="1:21" x14ac:dyDescent="0.3">
      <c r="A40" t="s">
        <v>506</v>
      </c>
      <c r="B40" t="s">
        <v>507</v>
      </c>
      <c r="C40" t="s">
        <v>500</v>
      </c>
      <c r="D40" t="s">
        <v>501</v>
      </c>
      <c r="E40" t="s">
        <v>502</v>
      </c>
      <c r="G40" t="s">
        <v>8</v>
      </c>
      <c r="H40" t="s">
        <v>150</v>
      </c>
      <c r="I40" t="s">
        <v>165</v>
      </c>
      <c r="J40" t="s">
        <v>155</v>
      </c>
      <c r="K40" t="s">
        <v>348</v>
      </c>
      <c r="L40" t="s">
        <v>168</v>
      </c>
      <c r="N40" t="s">
        <v>503</v>
      </c>
      <c r="O40" t="s">
        <v>504</v>
      </c>
      <c r="P40" t="s">
        <v>505</v>
      </c>
      <c r="Q40" s="83">
        <v>45547</v>
      </c>
      <c r="R40" t="s">
        <v>497</v>
      </c>
      <c r="S40" t="s">
        <v>489</v>
      </c>
      <c r="T40" t="s">
        <v>380</v>
      </c>
      <c r="U40" t="s">
        <v>198</v>
      </c>
    </row>
    <row r="41" spans="1:21" x14ac:dyDescent="0.3">
      <c r="A41" t="s">
        <v>508</v>
      </c>
      <c r="B41" t="s">
        <v>509</v>
      </c>
      <c r="C41" t="s">
        <v>510</v>
      </c>
      <c r="D41" t="s">
        <v>359</v>
      </c>
      <c r="E41" t="s">
        <v>88</v>
      </c>
      <c r="G41" t="s">
        <v>8</v>
      </c>
      <c r="H41" t="s">
        <v>150</v>
      </c>
      <c r="I41" t="s">
        <v>171</v>
      </c>
      <c r="J41" t="s">
        <v>155</v>
      </c>
      <c r="K41" t="s">
        <v>384</v>
      </c>
      <c r="L41" t="s">
        <v>167</v>
      </c>
      <c r="N41" t="s">
        <v>511</v>
      </c>
      <c r="O41" t="s">
        <v>512</v>
      </c>
      <c r="P41" t="s">
        <v>16</v>
      </c>
      <c r="Q41" s="83">
        <v>45548</v>
      </c>
      <c r="R41" t="s">
        <v>513</v>
      </c>
      <c r="S41" t="s">
        <v>481</v>
      </c>
      <c r="T41" t="s">
        <v>380</v>
      </c>
      <c r="U41" t="s">
        <v>198</v>
      </c>
    </row>
    <row r="42" spans="1:21" x14ac:dyDescent="0.3">
      <c r="A42" t="s">
        <v>514</v>
      </c>
      <c r="B42" t="s">
        <v>515</v>
      </c>
      <c r="C42" t="s">
        <v>516</v>
      </c>
      <c r="D42" t="s">
        <v>517</v>
      </c>
      <c r="E42" t="s">
        <v>117</v>
      </c>
      <c r="G42" t="s">
        <v>8</v>
      </c>
      <c r="H42" t="s">
        <v>150</v>
      </c>
      <c r="I42" t="s">
        <v>165</v>
      </c>
      <c r="J42" t="s">
        <v>155</v>
      </c>
      <c r="K42" t="s">
        <v>384</v>
      </c>
      <c r="L42" t="s">
        <v>167</v>
      </c>
      <c r="N42" t="s">
        <v>518</v>
      </c>
      <c r="O42" t="s">
        <v>519</v>
      </c>
      <c r="P42" t="s">
        <v>16</v>
      </c>
      <c r="Q42" s="83">
        <v>45548</v>
      </c>
      <c r="R42" t="s">
        <v>513</v>
      </c>
      <c r="S42" t="s">
        <v>438</v>
      </c>
      <c r="T42" t="s">
        <v>330</v>
      </c>
      <c r="U42" t="s">
        <v>198</v>
      </c>
    </row>
    <row r="43" spans="1:21" x14ac:dyDescent="0.3">
      <c r="A43" t="s">
        <v>520</v>
      </c>
      <c r="B43" t="s">
        <v>521</v>
      </c>
      <c r="C43" t="s">
        <v>522</v>
      </c>
      <c r="D43" t="s">
        <v>523</v>
      </c>
      <c r="E43" t="s">
        <v>524</v>
      </c>
      <c r="G43" t="s">
        <v>8</v>
      </c>
      <c r="H43" t="s">
        <v>150</v>
      </c>
      <c r="I43" t="s">
        <v>165</v>
      </c>
      <c r="J43" t="s">
        <v>155</v>
      </c>
      <c r="K43" t="s">
        <v>525</v>
      </c>
      <c r="L43" t="s">
        <v>170</v>
      </c>
      <c r="N43" t="s">
        <v>94</v>
      </c>
      <c r="O43" t="s">
        <v>526</v>
      </c>
      <c r="P43" t="s">
        <v>16</v>
      </c>
      <c r="Q43" s="83">
        <v>45548</v>
      </c>
      <c r="R43" t="s">
        <v>513</v>
      </c>
      <c r="S43" t="s">
        <v>481</v>
      </c>
      <c r="T43" t="s">
        <v>330</v>
      </c>
      <c r="U43" t="s">
        <v>198</v>
      </c>
    </row>
    <row r="44" spans="1:21" x14ac:dyDescent="0.3">
      <c r="A44" t="s">
        <v>527</v>
      </c>
      <c r="B44" t="s">
        <v>528</v>
      </c>
      <c r="C44" t="s">
        <v>529</v>
      </c>
      <c r="D44" t="s">
        <v>530</v>
      </c>
      <c r="E44" t="s">
        <v>278</v>
      </c>
      <c r="G44" t="s">
        <v>8</v>
      </c>
      <c r="H44" t="s">
        <v>150</v>
      </c>
      <c r="I44" t="s">
        <v>165</v>
      </c>
      <c r="J44" t="s">
        <v>154</v>
      </c>
      <c r="K44" t="s">
        <v>407</v>
      </c>
      <c r="L44" t="s">
        <v>173</v>
      </c>
      <c r="N44" t="s">
        <v>531</v>
      </c>
      <c r="O44" t="s">
        <v>532</v>
      </c>
      <c r="P44" t="s">
        <v>16</v>
      </c>
      <c r="Q44" s="83">
        <v>45548</v>
      </c>
      <c r="R44" t="s">
        <v>513</v>
      </c>
      <c r="S44" t="s">
        <v>533</v>
      </c>
      <c r="T44" t="s">
        <v>380</v>
      </c>
      <c r="U44" t="s">
        <v>198</v>
      </c>
    </row>
    <row r="45" spans="1:21" x14ac:dyDescent="0.3">
      <c r="A45" t="s">
        <v>534</v>
      </c>
      <c r="B45" t="s">
        <v>535</v>
      </c>
      <c r="C45" t="s">
        <v>536</v>
      </c>
      <c r="D45" t="s">
        <v>537</v>
      </c>
      <c r="E45" t="s">
        <v>278</v>
      </c>
      <c r="G45" t="s">
        <v>8</v>
      </c>
      <c r="H45" t="s">
        <v>150</v>
      </c>
      <c r="I45" t="s">
        <v>165</v>
      </c>
      <c r="J45" t="s">
        <v>155</v>
      </c>
      <c r="K45" t="s">
        <v>384</v>
      </c>
      <c r="L45" t="s">
        <v>167</v>
      </c>
      <c r="N45" t="s">
        <v>518</v>
      </c>
      <c r="O45" t="s">
        <v>519</v>
      </c>
      <c r="P45" t="s">
        <v>16</v>
      </c>
      <c r="Q45" s="83">
        <v>45548</v>
      </c>
      <c r="R45" t="s">
        <v>513</v>
      </c>
      <c r="S45" t="s">
        <v>538</v>
      </c>
      <c r="T45" t="s">
        <v>380</v>
      </c>
      <c r="U45" t="s">
        <v>198</v>
      </c>
    </row>
    <row r="46" spans="1:21" x14ac:dyDescent="0.3">
      <c r="A46" t="s">
        <v>539</v>
      </c>
      <c r="B46" t="s">
        <v>540</v>
      </c>
      <c r="C46" t="s">
        <v>541</v>
      </c>
      <c r="D46" t="s">
        <v>542</v>
      </c>
      <c r="E46" t="s">
        <v>107</v>
      </c>
      <c r="G46" t="s">
        <v>8</v>
      </c>
      <c r="H46" t="s">
        <v>150</v>
      </c>
      <c r="I46" t="s">
        <v>171</v>
      </c>
      <c r="J46" t="s">
        <v>155</v>
      </c>
      <c r="K46" t="s">
        <v>337</v>
      </c>
      <c r="L46" t="s">
        <v>168</v>
      </c>
      <c r="N46" t="s">
        <v>543</v>
      </c>
      <c r="O46" t="s">
        <v>544</v>
      </c>
      <c r="P46" t="s">
        <v>16</v>
      </c>
      <c r="Q46" s="83">
        <v>45548</v>
      </c>
      <c r="R46" t="s">
        <v>513</v>
      </c>
      <c r="S46" t="s">
        <v>545</v>
      </c>
      <c r="T46" t="s">
        <v>380</v>
      </c>
      <c r="U46" t="s">
        <v>198</v>
      </c>
    </row>
    <row r="47" spans="1:21" x14ac:dyDescent="0.3">
      <c r="A47" t="s">
        <v>546</v>
      </c>
      <c r="B47" t="s">
        <v>547</v>
      </c>
      <c r="C47" t="s">
        <v>548</v>
      </c>
      <c r="D47" t="s">
        <v>549</v>
      </c>
      <c r="E47" t="s">
        <v>139</v>
      </c>
      <c r="G47" t="s">
        <v>8</v>
      </c>
      <c r="H47" t="s">
        <v>157</v>
      </c>
      <c r="I47" t="s">
        <v>187</v>
      </c>
      <c r="N47" t="s">
        <v>140</v>
      </c>
      <c r="O47" t="s">
        <v>464</v>
      </c>
      <c r="P47" t="s">
        <v>16</v>
      </c>
      <c r="Q47" s="83">
        <v>45549</v>
      </c>
      <c r="R47" t="s">
        <v>438</v>
      </c>
      <c r="S47" t="s">
        <v>550</v>
      </c>
      <c r="T47" t="s">
        <v>380</v>
      </c>
      <c r="U47" t="s">
        <v>198</v>
      </c>
    </row>
    <row r="48" spans="1:21" x14ac:dyDescent="0.3">
      <c r="A48" t="s">
        <v>551</v>
      </c>
      <c r="B48" t="s">
        <v>552</v>
      </c>
      <c r="C48" t="s">
        <v>553</v>
      </c>
      <c r="D48" t="s">
        <v>554</v>
      </c>
      <c r="E48" t="s">
        <v>400</v>
      </c>
      <c r="G48" t="s">
        <v>8</v>
      </c>
      <c r="H48" t="s">
        <v>157</v>
      </c>
      <c r="I48" t="s">
        <v>188</v>
      </c>
      <c r="N48" t="s">
        <v>342</v>
      </c>
      <c r="O48" t="s">
        <v>402</v>
      </c>
      <c r="P48" t="s">
        <v>16</v>
      </c>
      <c r="Q48" s="83">
        <v>45549</v>
      </c>
      <c r="R48" t="s">
        <v>555</v>
      </c>
      <c r="S48" t="s">
        <v>556</v>
      </c>
      <c r="T48" t="s">
        <v>380</v>
      </c>
      <c r="U48" t="s">
        <v>198</v>
      </c>
    </row>
    <row r="49" spans="1:21" x14ac:dyDescent="0.3">
      <c r="A49" t="s">
        <v>557</v>
      </c>
      <c r="B49" t="s">
        <v>558</v>
      </c>
      <c r="C49" t="s">
        <v>559</v>
      </c>
      <c r="D49" t="s">
        <v>560</v>
      </c>
      <c r="E49" t="s">
        <v>561</v>
      </c>
      <c r="G49" t="s">
        <v>8</v>
      </c>
      <c r="H49" t="s">
        <v>150</v>
      </c>
      <c r="I49" t="s">
        <v>153</v>
      </c>
      <c r="J49" t="s">
        <v>156</v>
      </c>
      <c r="K49" t="s">
        <v>525</v>
      </c>
      <c r="L49" t="s">
        <v>168</v>
      </c>
      <c r="N49" t="s">
        <v>562</v>
      </c>
      <c r="O49" t="s">
        <v>563</v>
      </c>
      <c r="P49" t="s">
        <v>16</v>
      </c>
      <c r="Q49" s="83">
        <v>45549</v>
      </c>
      <c r="R49" t="s">
        <v>555</v>
      </c>
      <c r="S49" t="s">
        <v>538</v>
      </c>
      <c r="T49" t="s">
        <v>380</v>
      </c>
      <c r="U49" t="s">
        <v>198</v>
      </c>
    </row>
    <row r="50" spans="1:21" x14ac:dyDescent="0.3">
      <c r="A50" t="s">
        <v>564</v>
      </c>
      <c r="B50" t="s">
        <v>565</v>
      </c>
      <c r="C50" t="s">
        <v>566</v>
      </c>
      <c r="D50" t="s">
        <v>567</v>
      </c>
      <c r="E50" t="s">
        <v>88</v>
      </c>
      <c r="G50" t="s">
        <v>8</v>
      </c>
      <c r="H50" t="s">
        <v>157</v>
      </c>
      <c r="I50" t="s">
        <v>189</v>
      </c>
      <c r="N50" t="s">
        <v>568</v>
      </c>
      <c r="O50" t="s">
        <v>464</v>
      </c>
      <c r="P50" t="s">
        <v>16</v>
      </c>
      <c r="Q50" s="83">
        <v>45549</v>
      </c>
      <c r="R50" t="s">
        <v>555</v>
      </c>
      <c r="S50" t="s">
        <v>569</v>
      </c>
      <c r="T50" t="s">
        <v>380</v>
      </c>
      <c r="U50" t="s">
        <v>198</v>
      </c>
    </row>
    <row r="51" spans="1:21" x14ac:dyDescent="0.3">
      <c r="A51" t="s">
        <v>570</v>
      </c>
      <c r="B51" t="s">
        <v>571</v>
      </c>
      <c r="C51" t="s">
        <v>572</v>
      </c>
      <c r="D51" t="s">
        <v>573</v>
      </c>
      <c r="E51" t="s">
        <v>129</v>
      </c>
      <c r="G51" t="s">
        <v>8</v>
      </c>
      <c r="H51" t="s">
        <v>150</v>
      </c>
      <c r="I51" t="s">
        <v>153</v>
      </c>
      <c r="J51" t="s">
        <v>177</v>
      </c>
      <c r="K51" t="s">
        <v>407</v>
      </c>
      <c r="L51" t="s">
        <v>167</v>
      </c>
      <c r="N51" t="s">
        <v>130</v>
      </c>
      <c r="O51" t="s">
        <v>574</v>
      </c>
      <c r="P51" t="s">
        <v>16</v>
      </c>
      <c r="Q51" s="83">
        <v>45549</v>
      </c>
      <c r="R51" t="s">
        <v>555</v>
      </c>
      <c r="U51" t="s">
        <v>193</v>
      </c>
    </row>
    <row r="52" spans="1:21" x14ac:dyDescent="0.3">
      <c r="A52" t="s">
        <v>575</v>
      </c>
      <c r="B52" t="s">
        <v>576</v>
      </c>
      <c r="C52" t="s">
        <v>572</v>
      </c>
      <c r="D52" t="s">
        <v>573</v>
      </c>
      <c r="E52" t="s">
        <v>129</v>
      </c>
      <c r="G52" t="s">
        <v>8</v>
      </c>
      <c r="H52" t="s">
        <v>150</v>
      </c>
      <c r="I52" t="s">
        <v>153</v>
      </c>
      <c r="J52" t="s">
        <v>177</v>
      </c>
      <c r="K52" t="s">
        <v>407</v>
      </c>
      <c r="L52" t="s">
        <v>167</v>
      </c>
      <c r="N52" t="s">
        <v>130</v>
      </c>
      <c r="O52" t="s">
        <v>574</v>
      </c>
      <c r="P52" t="s">
        <v>16</v>
      </c>
      <c r="Q52" s="83">
        <v>45549</v>
      </c>
      <c r="R52" t="s">
        <v>555</v>
      </c>
      <c r="U52" t="s">
        <v>193</v>
      </c>
    </row>
    <row r="53" spans="1:21" x14ac:dyDescent="0.3">
      <c r="A53" t="s">
        <v>577</v>
      </c>
      <c r="B53" t="s">
        <v>578</v>
      </c>
      <c r="C53" t="s">
        <v>579</v>
      </c>
      <c r="D53" t="s">
        <v>131</v>
      </c>
      <c r="E53" t="s">
        <v>67</v>
      </c>
      <c r="G53" t="s">
        <v>8</v>
      </c>
      <c r="H53" t="s">
        <v>150</v>
      </c>
      <c r="I53" t="s">
        <v>153</v>
      </c>
      <c r="J53" t="s">
        <v>156</v>
      </c>
      <c r="K53" t="s">
        <v>407</v>
      </c>
      <c r="L53" t="s">
        <v>167</v>
      </c>
      <c r="N53" t="s">
        <v>132</v>
      </c>
      <c r="O53" t="s">
        <v>442</v>
      </c>
      <c r="P53" t="s">
        <v>16</v>
      </c>
      <c r="Q53" s="83">
        <v>45549</v>
      </c>
      <c r="R53" t="s">
        <v>555</v>
      </c>
      <c r="S53" t="s">
        <v>580</v>
      </c>
      <c r="T53" t="s">
        <v>380</v>
      </c>
      <c r="U53" t="s">
        <v>198</v>
      </c>
    </row>
    <row r="54" spans="1:21" x14ac:dyDescent="0.3">
      <c r="A54" t="s">
        <v>581</v>
      </c>
      <c r="B54" t="s">
        <v>582</v>
      </c>
      <c r="C54" t="s">
        <v>579</v>
      </c>
      <c r="D54" t="s">
        <v>131</v>
      </c>
      <c r="E54" t="s">
        <v>67</v>
      </c>
      <c r="G54" t="s">
        <v>8</v>
      </c>
      <c r="H54" t="s">
        <v>150</v>
      </c>
      <c r="I54" t="s">
        <v>153</v>
      </c>
      <c r="J54" t="s">
        <v>156</v>
      </c>
      <c r="K54" t="s">
        <v>407</v>
      </c>
      <c r="L54" t="s">
        <v>167</v>
      </c>
      <c r="N54" t="s">
        <v>132</v>
      </c>
      <c r="O54" t="s">
        <v>442</v>
      </c>
      <c r="P54" t="s">
        <v>16</v>
      </c>
      <c r="Q54" s="83">
        <v>45549</v>
      </c>
      <c r="R54" t="s">
        <v>555</v>
      </c>
      <c r="S54" t="s">
        <v>580</v>
      </c>
      <c r="T54" t="s">
        <v>380</v>
      </c>
      <c r="U54" t="s">
        <v>198</v>
      </c>
    </row>
    <row r="55" spans="1:21" x14ac:dyDescent="0.3">
      <c r="A55" t="s">
        <v>583</v>
      </c>
      <c r="B55" t="s">
        <v>584</v>
      </c>
      <c r="C55" t="s">
        <v>585</v>
      </c>
      <c r="D55" t="s">
        <v>586</v>
      </c>
      <c r="E55" t="s">
        <v>135</v>
      </c>
      <c r="G55" t="s">
        <v>8</v>
      </c>
      <c r="H55" t="s">
        <v>157</v>
      </c>
      <c r="I55" t="s">
        <v>187</v>
      </c>
      <c r="N55" t="s">
        <v>401</v>
      </c>
      <c r="O55" t="s">
        <v>587</v>
      </c>
      <c r="P55" t="s">
        <v>16</v>
      </c>
      <c r="Q55" s="83">
        <v>45549</v>
      </c>
      <c r="R55" t="s">
        <v>555</v>
      </c>
      <c r="S55" t="s">
        <v>569</v>
      </c>
      <c r="T55" t="s">
        <v>380</v>
      </c>
      <c r="U55" t="s">
        <v>198</v>
      </c>
    </row>
    <row r="56" spans="1:21" x14ac:dyDescent="0.3">
      <c r="A56" t="s">
        <v>588</v>
      </c>
      <c r="B56" t="s">
        <v>589</v>
      </c>
      <c r="C56" t="s">
        <v>590</v>
      </c>
      <c r="D56" t="s">
        <v>591</v>
      </c>
      <c r="E56" t="s">
        <v>592</v>
      </c>
      <c r="G56" t="s">
        <v>8</v>
      </c>
      <c r="H56" t="s">
        <v>150</v>
      </c>
      <c r="I56" t="s">
        <v>165</v>
      </c>
      <c r="J56" t="s">
        <v>155</v>
      </c>
      <c r="K56" t="s">
        <v>407</v>
      </c>
      <c r="L56" t="s">
        <v>172</v>
      </c>
      <c r="N56" t="s">
        <v>593</v>
      </c>
      <c r="O56" t="s">
        <v>487</v>
      </c>
      <c r="P56" t="s">
        <v>16</v>
      </c>
      <c r="Q56" s="83">
        <v>45549</v>
      </c>
      <c r="R56" t="s">
        <v>594</v>
      </c>
      <c r="S56" t="s">
        <v>595</v>
      </c>
      <c r="T56" t="s">
        <v>330</v>
      </c>
      <c r="U56" t="s">
        <v>198</v>
      </c>
    </row>
    <row r="57" spans="1:21" x14ac:dyDescent="0.3">
      <c r="A57" t="s">
        <v>596</v>
      </c>
      <c r="B57" t="s">
        <v>597</v>
      </c>
      <c r="C57" t="s">
        <v>598</v>
      </c>
      <c r="D57" t="s">
        <v>599</v>
      </c>
      <c r="E57" t="s">
        <v>88</v>
      </c>
      <c r="G57" t="s">
        <v>8</v>
      </c>
      <c r="H57" t="s">
        <v>150</v>
      </c>
      <c r="I57" t="s">
        <v>165</v>
      </c>
      <c r="J57" t="s">
        <v>152</v>
      </c>
      <c r="K57" t="s">
        <v>348</v>
      </c>
      <c r="L57" t="s">
        <v>172</v>
      </c>
      <c r="N57" t="s">
        <v>600</v>
      </c>
      <c r="O57" t="s">
        <v>601</v>
      </c>
      <c r="P57" t="s">
        <v>16</v>
      </c>
      <c r="Q57" s="83">
        <v>45549</v>
      </c>
      <c r="R57" t="s">
        <v>594</v>
      </c>
      <c r="S57" t="s">
        <v>602</v>
      </c>
      <c r="T57" t="s">
        <v>330</v>
      </c>
      <c r="U57" t="s">
        <v>198</v>
      </c>
    </row>
    <row r="58" spans="1:21" x14ac:dyDescent="0.3">
      <c r="A58" t="s">
        <v>603</v>
      </c>
      <c r="B58" t="s">
        <v>604</v>
      </c>
      <c r="C58" t="s">
        <v>605</v>
      </c>
      <c r="D58" t="s">
        <v>606</v>
      </c>
      <c r="E58" t="s">
        <v>400</v>
      </c>
      <c r="G58" t="s">
        <v>8</v>
      </c>
      <c r="H58" t="s">
        <v>150</v>
      </c>
      <c r="I58" t="s">
        <v>165</v>
      </c>
      <c r="J58" t="s">
        <v>152</v>
      </c>
      <c r="K58" t="s">
        <v>384</v>
      </c>
      <c r="L58" t="s">
        <v>167</v>
      </c>
      <c r="N58" t="s">
        <v>607</v>
      </c>
      <c r="O58" t="s">
        <v>519</v>
      </c>
      <c r="P58" t="s">
        <v>16</v>
      </c>
      <c r="Q58" s="83">
        <v>45549</v>
      </c>
      <c r="R58" t="s">
        <v>594</v>
      </c>
      <c r="S58" t="s">
        <v>438</v>
      </c>
      <c r="T58" t="s">
        <v>380</v>
      </c>
      <c r="U58" t="s">
        <v>198</v>
      </c>
    </row>
    <row r="59" spans="1:21" x14ac:dyDescent="0.3">
      <c r="A59" t="s">
        <v>608</v>
      </c>
      <c r="B59" t="s">
        <v>609</v>
      </c>
      <c r="C59" t="s">
        <v>610</v>
      </c>
      <c r="D59" t="s">
        <v>183</v>
      </c>
      <c r="E59" t="s">
        <v>184</v>
      </c>
      <c r="G59" t="s">
        <v>8</v>
      </c>
      <c r="H59" t="s">
        <v>150</v>
      </c>
      <c r="I59" t="s">
        <v>165</v>
      </c>
      <c r="J59" t="s">
        <v>155</v>
      </c>
      <c r="K59" t="s">
        <v>384</v>
      </c>
      <c r="L59" t="s">
        <v>167</v>
      </c>
      <c r="O59" t="s">
        <v>519</v>
      </c>
      <c r="P59" t="s">
        <v>16</v>
      </c>
      <c r="Q59" s="83">
        <v>45550</v>
      </c>
      <c r="R59" t="s">
        <v>594</v>
      </c>
      <c r="S59" t="s">
        <v>438</v>
      </c>
      <c r="T59" t="s">
        <v>380</v>
      </c>
      <c r="U59" t="s">
        <v>198</v>
      </c>
    </row>
    <row r="60" spans="1:21" x14ac:dyDescent="0.3">
      <c r="A60" t="s">
        <v>611</v>
      </c>
      <c r="B60" t="s">
        <v>612</v>
      </c>
      <c r="C60" t="s">
        <v>610</v>
      </c>
      <c r="D60" t="s">
        <v>183</v>
      </c>
      <c r="E60" t="s">
        <v>184</v>
      </c>
      <c r="G60" t="s">
        <v>8</v>
      </c>
      <c r="H60" t="s">
        <v>150</v>
      </c>
      <c r="I60" t="s">
        <v>165</v>
      </c>
      <c r="J60" t="s">
        <v>155</v>
      </c>
      <c r="K60" t="s">
        <v>384</v>
      </c>
      <c r="L60" t="s">
        <v>167</v>
      </c>
      <c r="O60" t="s">
        <v>519</v>
      </c>
      <c r="P60" t="s">
        <v>16</v>
      </c>
      <c r="Q60" s="83">
        <v>45550</v>
      </c>
      <c r="R60" t="s">
        <v>594</v>
      </c>
      <c r="S60" t="s">
        <v>438</v>
      </c>
      <c r="T60" t="s">
        <v>380</v>
      </c>
      <c r="U60" t="s">
        <v>198</v>
      </c>
    </row>
    <row r="61" spans="1:21" x14ac:dyDescent="0.3">
      <c r="A61" t="s">
        <v>613</v>
      </c>
      <c r="B61" t="s">
        <v>614</v>
      </c>
      <c r="C61" t="s">
        <v>615</v>
      </c>
      <c r="D61" t="s">
        <v>196</v>
      </c>
      <c r="E61" t="s">
        <v>144</v>
      </c>
      <c r="G61" t="s">
        <v>8</v>
      </c>
      <c r="H61" t="s">
        <v>157</v>
      </c>
      <c r="I61" t="s">
        <v>187</v>
      </c>
      <c r="O61" t="s">
        <v>402</v>
      </c>
      <c r="P61" t="s">
        <v>616</v>
      </c>
      <c r="Q61" s="83">
        <v>45551</v>
      </c>
      <c r="R61" t="s">
        <v>556</v>
      </c>
      <c r="S61" t="s">
        <v>617</v>
      </c>
      <c r="T61" t="s">
        <v>330</v>
      </c>
      <c r="U61" t="s">
        <v>198</v>
      </c>
    </row>
    <row r="62" spans="1:21" x14ac:dyDescent="0.3">
      <c r="A62" t="s">
        <v>618</v>
      </c>
      <c r="D62" t="s">
        <v>83</v>
      </c>
      <c r="E62" t="s">
        <v>619</v>
      </c>
      <c r="G62" t="s">
        <v>406</v>
      </c>
      <c r="H62" t="s">
        <v>150</v>
      </c>
      <c r="I62" t="s">
        <v>165</v>
      </c>
      <c r="J62" t="s">
        <v>155</v>
      </c>
      <c r="K62" t="s">
        <v>384</v>
      </c>
      <c r="L62" t="s">
        <v>167</v>
      </c>
      <c r="O62" t="s">
        <v>620</v>
      </c>
      <c r="P62" t="s">
        <v>85</v>
      </c>
      <c r="Q62" s="83">
        <v>45556</v>
      </c>
      <c r="R62" t="s">
        <v>621</v>
      </c>
      <c r="S62" t="s">
        <v>622</v>
      </c>
      <c r="T62" t="s">
        <v>380</v>
      </c>
      <c r="U62" t="s">
        <v>198</v>
      </c>
    </row>
    <row r="63" spans="1:21" x14ac:dyDescent="0.3">
      <c r="A63" t="s">
        <v>623</v>
      </c>
      <c r="B63" t="s">
        <v>624</v>
      </c>
      <c r="C63" t="s">
        <v>624</v>
      </c>
      <c r="D63" t="s">
        <v>43</v>
      </c>
      <c r="E63" t="s">
        <v>42</v>
      </c>
      <c r="G63" t="s">
        <v>43</v>
      </c>
      <c r="H63" t="s">
        <v>150</v>
      </c>
      <c r="I63" t="s">
        <v>165</v>
      </c>
      <c r="J63" t="s">
        <v>154</v>
      </c>
      <c r="K63" t="s">
        <v>348</v>
      </c>
      <c r="L63" t="s">
        <v>201</v>
      </c>
      <c r="O63" t="s">
        <v>625</v>
      </c>
      <c r="P63" t="s">
        <v>85</v>
      </c>
      <c r="Q63" s="83">
        <v>45558</v>
      </c>
      <c r="R63" t="s">
        <v>626</v>
      </c>
      <c r="S63" t="s">
        <v>595</v>
      </c>
      <c r="T63" t="s">
        <v>380</v>
      </c>
      <c r="U63" t="s">
        <v>198</v>
      </c>
    </row>
    <row r="64" spans="1:21" x14ac:dyDescent="0.3">
      <c r="A64" t="s">
        <v>627</v>
      </c>
      <c r="B64" t="s">
        <v>624</v>
      </c>
      <c r="C64" t="s">
        <v>624</v>
      </c>
      <c r="D64" t="s">
        <v>43</v>
      </c>
      <c r="E64" t="s">
        <v>42</v>
      </c>
      <c r="G64" t="s">
        <v>43</v>
      </c>
      <c r="H64" t="s">
        <v>150</v>
      </c>
      <c r="I64" t="s">
        <v>165</v>
      </c>
      <c r="J64" t="s">
        <v>154</v>
      </c>
      <c r="K64" t="s">
        <v>348</v>
      </c>
      <c r="L64" t="s">
        <v>201</v>
      </c>
      <c r="O64" t="s">
        <v>625</v>
      </c>
      <c r="P64" t="s">
        <v>85</v>
      </c>
      <c r="Q64" s="83">
        <v>45558</v>
      </c>
      <c r="R64" t="s">
        <v>626</v>
      </c>
      <c r="S64" t="s">
        <v>595</v>
      </c>
      <c r="T64" t="s">
        <v>380</v>
      </c>
      <c r="U64" t="s">
        <v>198</v>
      </c>
    </row>
    <row r="65" spans="1:21" x14ac:dyDescent="0.3">
      <c r="A65" t="s">
        <v>628</v>
      </c>
      <c r="B65" t="s">
        <v>629</v>
      </c>
      <c r="C65" t="s">
        <v>630</v>
      </c>
      <c r="D65" t="s">
        <v>202</v>
      </c>
      <c r="E65" t="s">
        <v>42</v>
      </c>
      <c r="G65" t="s">
        <v>8</v>
      </c>
      <c r="H65" t="s">
        <v>150</v>
      </c>
      <c r="I65" t="s">
        <v>153</v>
      </c>
      <c r="J65" t="s">
        <v>177</v>
      </c>
      <c r="K65" t="s">
        <v>407</v>
      </c>
      <c r="L65" t="s">
        <v>167</v>
      </c>
      <c r="O65" t="s">
        <v>631</v>
      </c>
      <c r="P65" t="s">
        <v>632</v>
      </c>
      <c r="Q65" s="83">
        <v>45561</v>
      </c>
      <c r="R65" t="s">
        <v>633</v>
      </c>
      <c r="S65" t="s">
        <v>634</v>
      </c>
      <c r="T65" t="s">
        <v>380</v>
      </c>
      <c r="U65" t="s">
        <v>198</v>
      </c>
    </row>
    <row r="66" spans="1:21" x14ac:dyDescent="0.3">
      <c r="A66" t="s">
        <v>635</v>
      </c>
      <c r="B66" t="s">
        <v>636</v>
      </c>
      <c r="C66" t="s">
        <v>637</v>
      </c>
      <c r="D66" t="s">
        <v>203</v>
      </c>
      <c r="E66" t="s">
        <v>204</v>
      </c>
      <c r="G66" t="s">
        <v>8</v>
      </c>
      <c r="H66" t="s">
        <v>157</v>
      </c>
      <c r="I66" t="s">
        <v>189</v>
      </c>
      <c r="O66" t="s">
        <v>464</v>
      </c>
      <c r="P66" t="s">
        <v>638</v>
      </c>
      <c r="Q66" s="83">
        <v>45561</v>
      </c>
      <c r="R66" t="s">
        <v>633</v>
      </c>
      <c r="U66" t="s">
        <v>193</v>
      </c>
    </row>
    <row r="67" spans="1:21" x14ac:dyDescent="0.3">
      <c r="A67" t="s">
        <v>639</v>
      </c>
      <c r="B67" t="s">
        <v>640</v>
      </c>
      <c r="D67" t="s">
        <v>52</v>
      </c>
      <c r="G67" t="s">
        <v>52</v>
      </c>
      <c r="H67" t="s">
        <v>150</v>
      </c>
      <c r="I67" t="s">
        <v>165</v>
      </c>
      <c r="J67" t="s">
        <v>154</v>
      </c>
      <c r="K67" t="s">
        <v>348</v>
      </c>
      <c r="L67" t="s">
        <v>168</v>
      </c>
      <c r="O67" t="s">
        <v>445</v>
      </c>
      <c r="P67" t="s">
        <v>641</v>
      </c>
      <c r="Q67" s="83">
        <v>45561</v>
      </c>
      <c r="R67" t="s">
        <v>642</v>
      </c>
      <c r="U67" t="s">
        <v>223</v>
      </c>
    </row>
    <row r="68" spans="1:21" x14ac:dyDescent="0.3">
      <c r="A68" t="s">
        <v>643</v>
      </c>
      <c r="B68" t="s">
        <v>644</v>
      </c>
      <c r="D68" t="s">
        <v>52</v>
      </c>
      <c r="G68" t="s">
        <v>52</v>
      </c>
      <c r="H68" t="s">
        <v>150</v>
      </c>
      <c r="I68" t="s">
        <v>153</v>
      </c>
      <c r="J68" t="s">
        <v>156</v>
      </c>
      <c r="K68" t="s">
        <v>407</v>
      </c>
      <c r="L68" t="s">
        <v>167</v>
      </c>
      <c r="O68" t="s">
        <v>645</v>
      </c>
      <c r="P68" t="s">
        <v>16</v>
      </c>
      <c r="Q68" s="83">
        <v>45564</v>
      </c>
      <c r="R68" t="s">
        <v>533</v>
      </c>
      <c r="S68" t="s">
        <v>550</v>
      </c>
      <c r="T68" t="s">
        <v>380</v>
      </c>
      <c r="U68" t="s">
        <v>198</v>
      </c>
    </row>
    <row r="69" spans="1:21" x14ac:dyDescent="0.3">
      <c r="A69" t="s">
        <v>646</v>
      </c>
      <c r="D69" t="s">
        <v>83</v>
      </c>
      <c r="E69" t="s">
        <v>619</v>
      </c>
      <c r="G69" t="s">
        <v>406</v>
      </c>
      <c r="H69" t="s">
        <v>150</v>
      </c>
      <c r="I69" t="s">
        <v>153</v>
      </c>
      <c r="J69" t="s">
        <v>177</v>
      </c>
      <c r="K69" t="s">
        <v>407</v>
      </c>
      <c r="L69" t="s">
        <v>167</v>
      </c>
      <c r="O69" t="s">
        <v>453</v>
      </c>
      <c r="P69" t="s">
        <v>85</v>
      </c>
      <c r="Q69" s="83">
        <v>45564</v>
      </c>
      <c r="R69" t="s">
        <v>622</v>
      </c>
      <c r="S69" t="s">
        <v>622</v>
      </c>
      <c r="T69" t="s">
        <v>380</v>
      </c>
      <c r="U69" t="s">
        <v>198</v>
      </c>
    </row>
    <row r="70" spans="1:21" x14ac:dyDescent="0.3">
      <c r="A70" t="s">
        <v>647</v>
      </c>
      <c r="D70" t="s">
        <v>210</v>
      </c>
      <c r="E70" t="s">
        <v>212</v>
      </c>
      <c r="G70" t="s">
        <v>212</v>
      </c>
      <c r="H70" t="s">
        <v>150</v>
      </c>
      <c r="I70" t="s">
        <v>165</v>
      </c>
      <c r="J70" t="s">
        <v>213</v>
      </c>
      <c r="K70" t="s">
        <v>348</v>
      </c>
      <c r="L70" t="s">
        <v>214</v>
      </c>
      <c r="O70" t="s">
        <v>648</v>
      </c>
      <c r="Q70" s="83">
        <v>45566</v>
      </c>
      <c r="R70" t="s">
        <v>649</v>
      </c>
      <c r="S70" t="s">
        <v>649</v>
      </c>
      <c r="T70" t="s">
        <v>650</v>
      </c>
      <c r="U70" t="s">
        <v>198</v>
      </c>
    </row>
    <row r="71" spans="1:21" x14ac:dyDescent="0.3">
      <c r="A71" t="s">
        <v>651</v>
      </c>
      <c r="B71" t="s">
        <v>652</v>
      </c>
      <c r="C71" t="s">
        <v>653</v>
      </c>
      <c r="D71" t="s">
        <v>231</v>
      </c>
      <c r="E71" t="s">
        <v>67</v>
      </c>
      <c r="G71" t="s">
        <v>8</v>
      </c>
      <c r="H71" t="s">
        <v>150</v>
      </c>
      <c r="I71" t="s">
        <v>165</v>
      </c>
      <c r="J71" t="s">
        <v>152</v>
      </c>
      <c r="K71" t="s">
        <v>233</v>
      </c>
      <c r="L71" t="s">
        <v>234</v>
      </c>
      <c r="O71" t="s">
        <v>654</v>
      </c>
      <c r="P71" t="s">
        <v>655</v>
      </c>
      <c r="Q71" s="83">
        <v>45578</v>
      </c>
      <c r="R71" t="s">
        <v>656</v>
      </c>
      <c r="S71" t="s">
        <v>657</v>
      </c>
      <c r="T71" t="s">
        <v>380</v>
      </c>
      <c r="U71" t="s">
        <v>198</v>
      </c>
    </row>
    <row r="72" spans="1:21" x14ac:dyDescent="0.3">
      <c r="A72" t="s">
        <v>658</v>
      </c>
      <c r="B72" t="s">
        <v>659</v>
      </c>
      <c r="C72" t="s">
        <v>660</v>
      </c>
      <c r="D72" t="s">
        <v>235</v>
      </c>
      <c r="E72" t="s">
        <v>49</v>
      </c>
      <c r="G72" t="s">
        <v>8</v>
      </c>
      <c r="H72" t="s">
        <v>150</v>
      </c>
      <c r="I72" t="s">
        <v>165</v>
      </c>
      <c r="J72" t="s">
        <v>155</v>
      </c>
      <c r="K72" t="s">
        <v>384</v>
      </c>
      <c r="L72" t="s">
        <v>167</v>
      </c>
      <c r="O72" t="s">
        <v>385</v>
      </c>
      <c r="P72" t="s">
        <v>16</v>
      </c>
      <c r="Q72" s="83">
        <v>45581</v>
      </c>
      <c r="R72" t="s">
        <v>661</v>
      </c>
      <c r="S72" t="s">
        <v>550</v>
      </c>
      <c r="T72" t="s">
        <v>380</v>
      </c>
      <c r="U72" t="s">
        <v>198</v>
      </c>
    </row>
    <row r="73" spans="1:21" x14ac:dyDescent="0.3">
      <c r="A73" t="s">
        <v>662</v>
      </c>
      <c r="B73" t="s">
        <v>663</v>
      </c>
      <c r="C73" t="s">
        <v>664</v>
      </c>
      <c r="D73" t="s">
        <v>237</v>
      </c>
      <c r="E73" t="s">
        <v>238</v>
      </c>
      <c r="G73" t="s">
        <v>8</v>
      </c>
      <c r="H73" t="s">
        <v>150</v>
      </c>
      <c r="I73" t="s">
        <v>165</v>
      </c>
      <c r="J73" t="s">
        <v>152</v>
      </c>
      <c r="K73" t="s">
        <v>239</v>
      </c>
      <c r="L73" t="s">
        <v>234</v>
      </c>
      <c r="O73" t="s">
        <v>654</v>
      </c>
      <c r="P73" t="s">
        <v>16</v>
      </c>
      <c r="Q73" s="83">
        <v>45582</v>
      </c>
      <c r="R73" t="s">
        <v>665</v>
      </c>
      <c r="S73" t="s">
        <v>666</v>
      </c>
      <c r="T73" t="s">
        <v>330</v>
      </c>
      <c r="U73" t="s">
        <v>198</v>
      </c>
    </row>
    <row r="74" spans="1:21" x14ac:dyDescent="0.3">
      <c r="A74" t="s">
        <v>667</v>
      </c>
      <c r="B74" t="s">
        <v>668</v>
      </c>
      <c r="D74" t="s">
        <v>52</v>
      </c>
      <c r="E74" t="s">
        <v>204</v>
      </c>
      <c r="G74" t="s">
        <v>52</v>
      </c>
      <c r="H74" t="s">
        <v>150</v>
      </c>
      <c r="I74" t="s">
        <v>165</v>
      </c>
      <c r="J74" t="s">
        <v>246</v>
      </c>
      <c r="K74" t="s">
        <v>348</v>
      </c>
      <c r="L74" t="s">
        <v>247</v>
      </c>
      <c r="O74" t="s">
        <v>669</v>
      </c>
      <c r="P74" t="s">
        <v>670</v>
      </c>
      <c r="Q74" s="83">
        <v>45587</v>
      </c>
      <c r="R74" t="s">
        <v>671</v>
      </c>
      <c r="S74" t="s">
        <v>672</v>
      </c>
      <c r="T74" t="s">
        <v>380</v>
      </c>
      <c r="U74" t="s">
        <v>198</v>
      </c>
    </row>
    <row r="75" spans="1:21" x14ac:dyDescent="0.3">
      <c r="A75" t="s">
        <v>673</v>
      </c>
      <c r="B75" t="s">
        <v>668</v>
      </c>
      <c r="D75" t="s">
        <v>52</v>
      </c>
      <c r="E75" t="s">
        <v>204</v>
      </c>
      <c r="G75" t="s">
        <v>52</v>
      </c>
      <c r="H75" t="s">
        <v>150</v>
      </c>
      <c r="I75" t="s">
        <v>165</v>
      </c>
      <c r="J75" t="s">
        <v>246</v>
      </c>
      <c r="K75" t="s">
        <v>348</v>
      </c>
      <c r="L75" t="s">
        <v>247</v>
      </c>
      <c r="O75" t="s">
        <v>669</v>
      </c>
      <c r="P75" t="s">
        <v>670</v>
      </c>
      <c r="Q75" s="83">
        <v>45587</v>
      </c>
      <c r="R75" t="s">
        <v>671</v>
      </c>
      <c r="S75" t="s">
        <v>672</v>
      </c>
      <c r="T75" t="s">
        <v>380</v>
      </c>
      <c r="U75" t="s">
        <v>198</v>
      </c>
    </row>
    <row r="76" spans="1:21" x14ac:dyDescent="0.3">
      <c r="A76" t="s">
        <v>674</v>
      </c>
      <c r="D76" t="s">
        <v>83</v>
      </c>
      <c r="E76" t="s">
        <v>248</v>
      </c>
      <c r="G76" t="s">
        <v>406</v>
      </c>
      <c r="H76" t="s">
        <v>150</v>
      </c>
      <c r="I76" t="s">
        <v>165</v>
      </c>
      <c r="J76" t="s">
        <v>246</v>
      </c>
      <c r="K76" t="s">
        <v>348</v>
      </c>
      <c r="L76" t="s">
        <v>247</v>
      </c>
      <c r="O76" t="s">
        <v>675</v>
      </c>
      <c r="P76" t="s">
        <v>85</v>
      </c>
      <c r="Q76" s="83">
        <v>45587</v>
      </c>
      <c r="R76" t="s">
        <v>676</v>
      </c>
      <c r="U76" t="s">
        <v>677</v>
      </c>
    </row>
    <row r="77" spans="1:21" x14ac:dyDescent="0.3">
      <c r="A77" t="s">
        <v>678</v>
      </c>
      <c r="B77" t="s">
        <v>679</v>
      </c>
      <c r="C77" t="s">
        <v>680</v>
      </c>
      <c r="D77" t="s">
        <v>250</v>
      </c>
      <c r="E77" t="s">
        <v>251</v>
      </c>
      <c r="G77" t="s">
        <v>8</v>
      </c>
      <c r="H77" t="s">
        <v>150</v>
      </c>
      <c r="I77" t="s">
        <v>153</v>
      </c>
      <c r="J77" t="s">
        <v>177</v>
      </c>
      <c r="K77" t="s">
        <v>407</v>
      </c>
      <c r="L77" t="s">
        <v>167</v>
      </c>
      <c r="O77" t="s">
        <v>631</v>
      </c>
      <c r="P77" t="s">
        <v>681</v>
      </c>
      <c r="Q77" s="83">
        <v>45586</v>
      </c>
      <c r="R77" t="s">
        <v>617</v>
      </c>
      <c r="S77" t="s">
        <v>672</v>
      </c>
      <c r="T77" t="s">
        <v>380</v>
      </c>
      <c r="U77" t="s">
        <v>198</v>
      </c>
    </row>
    <row r="78" spans="1:21" x14ac:dyDescent="0.3">
      <c r="A78" t="s">
        <v>682</v>
      </c>
      <c r="B78" t="s">
        <v>683</v>
      </c>
      <c r="D78" t="s">
        <v>52</v>
      </c>
      <c r="G78" t="s">
        <v>52</v>
      </c>
      <c r="H78" t="s">
        <v>205</v>
      </c>
      <c r="I78" t="s">
        <v>206</v>
      </c>
      <c r="L78" t="s">
        <v>168</v>
      </c>
      <c r="O78" t="s">
        <v>684</v>
      </c>
      <c r="P78" t="s">
        <v>16</v>
      </c>
      <c r="Q78" s="83">
        <v>45589</v>
      </c>
      <c r="R78" t="s">
        <v>617</v>
      </c>
      <c r="S78" t="s">
        <v>556</v>
      </c>
      <c r="T78" t="s">
        <v>380</v>
      </c>
      <c r="U78" t="s">
        <v>198</v>
      </c>
    </row>
    <row r="79" spans="1:21" x14ac:dyDescent="0.3">
      <c r="A79" t="s">
        <v>685</v>
      </c>
      <c r="B79" t="s">
        <v>686</v>
      </c>
      <c r="D79" t="s">
        <v>52</v>
      </c>
      <c r="G79" t="s">
        <v>52</v>
      </c>
      <c r="H79" t="s">
        <v>150</v>
      </c>
      <c r="I79" t="s">
        <v>165</v>
      </c>
      <c r="J79" t="s">
        <v>154</v>
      </c>
      <c r="K79" t="s">
        <v>348</v>
      </c>
      <c r="L79" t="s">
        <v>168</v>
      </c>
      <c r="O79" t="s">
        <v>687</v>
      </c>
      <c r="P79" t="s">
        <v>688</v>
      </c>
      <c r="Q79" s="83">
        <v>45591</v>
      </c>
      <c r="R79" t="s">
        <v>689</v>
      </c>
      <c r="U79" t="s">
        <v>236</v>
      </c>
    </row>
    <row r="80" spans="1:21" x14ac:dyDescent="0.3">
      <c r="A80" t="s">
        <v>690</v>
      </c>
      <c r="B80" t="s">
        <v>691</v>
      </c>
      <c r="C80" t="s">
        <v>692</v>
      </c>
      <c r="D80" t="s">
        <v>131</v>
      </c>
      <c r="E80" t="s">
        <v>252</v>
      </c>
      <c r="G80" t="s">
        <v>8</v>
      </c>
      <c r="H80" t="s">
        <v>150</v>
      </c>
      <c r="I80" t="s">
        <v>165</v>
      </c>
      <c r="J80" t="s">
        <v>154</v>
      </c>
      <c r="K80" t="s">
        <v>337</v>
      </c>
      <c r="L80" t="s">
        <v>168</v>
      </c>
      <c r="O80" t="s">
        <v>693</v>
      </c>
      <c r="P80" t="s">
        <v>694</v>
      </c>
      <c r="Q80" s="83">
        <v>45591</v>
      </c>
      <c r="R80" t="s">
        <v>633</v>
      </c>
      <c r="S80" t="s">
        <v>672</v>
      </c>
      <c r="T80" t="s">
        <v>380</v>
      </c>
      <c r="U80" t="s">
        <v>198</v>
      </c>
    </row>
    <row r="81" spans="1:21" x14ac:dyDescent="0.3">
      <c r="A81" t="s">
        <v>695</v>
      </c>
      <c r="B81" t="s">
        <v>696</v>
      </c>
      <c r="C81" t="s">
        <v>692</v>
      </c>
      <c r="D81" t="s">
        <v>131</v>
      </c>
      <c r="E81" t="s">
        <v>252</v>
      </c>
      <c r="G81" t="s">
        <v>8</v>
      </c>
      <c r="H81" t="s">
        <v>150</v>
      </c>
      <c r="I81" t="s">
        <v>165</v>
      </c>
      <c r="J81" t="s">
        <v>154</v>
      </c>
      <c r="K81" t="s">
        <v>337</v>
      </c>
      <c r="L81" t="s">
        <v>168</v>
      </c>
      <c r="O81" t="s">
        <v>693</v>
      </c>
      <c r="P81" t="s">
        <v>694</v>
      </c>
      <c r="Q81" s="83">
        <v>45591</v>
      </c>
      <c r="R81" t="s">
        <v>633</v>
      </c>
      <c r="S81" t="s">
        <v>672</v>
      </c>
      <c r="T81" t="s">
        <v>380</v>
      </c>
      <c r="U81" t="s">
        <v>198</v>
      </c>
    </row>
    <row r="82" spans="1:21" x14ac:dyDescent="0.3">
      <c r="A82" t="s">
        <v>697</v>
      </c>
      <c r="D82" t="s">
        <v>253</v>
      </c>
      <c r="E82" t="s">
        <v>107</v>
      </c>
      <c r="G82" t="s">
        <v>254</v>
      </c>
      <c r="H82" t="s">
        <v>150</v>
      </c>
      <c r="I82" t="s">
        <v>153</v>
      </c>
      <c r="J82" t="s">
        <v>156</v>
      </c>
      <c r="K82" t="s">
        <v>348</v>
      </c>
      <c r="L82" t="s">
        <v>167</v>
      </c>
      <c r="O82" t="s">
        <v>255</v>
      </c>
      <c r="P82" t="s">
        <v>698</v>
      </c>
      <c r="Q82" s="83">
        <v>45593</v>
      </c>
      <c r="R82" t="s">
        <v>699</v>
      </c>
      <c r="S82" t="s">
        <v>700</v>
      </c>
      <c r="T82" t="s">
        <v>380</v>
      </c>
      <c r="U82" t="s">
        <v>198</v>
      </c>
    </row>
    <row r="83" spans="1:21" x14ac:dyDescent="0.3">
      <c r="A83" t="s">
        <v>348</v>
      </c>
      <c r="D83" t="s">
        <v>253</v>
      </c>
      <c r="E83" t="s">
        <v>107</v>
      </c>
      <c r="G83" t="s">
        <v>254</v>
      </c>
      <c r="H83" t="s">
        <v>150</v>
      </c>
      <c r="I83" t="s">
        <v>153</v>
      </c>
      <c r="J83" t="s">
        <v>156</v>
      </c>
      <c r="K83" t="s">
        <v>407</v>
      </c>
      <c r="L83" t="s">
        <v>167</v>
      </c>
      <c r="O83" t="s">
        <v>256</v>
      </c>
      <c r="P83" t="s">
        <v>698</v>
      </c>
      <c r="Q83" s="83">
        <v>45593</v>
      </c>
      <c r="R83" t="s">
        <v>699</v>
      </c>
      <c r="S83" t="s">
        <v>700</v>
      </c>
      <c r="T83" t="s">
        <v>380</v>
      </c>
      <c r="U83" t="s">
        <v>198</v>
      </c>
    </row>
    <row r="84" spans="1:21" x14ac:dyDescent="0.3">
      <c r="A84" t="s">
        <v>701</v>
      </c>
      <c r="B84" t="s">
        <v>702</v>
      </c>
      <c r="C84" t="s">
        <v>703</v>
      </c>
      <c r="D84" t="s">
        <v>704</v>
      </c>
      <c r="E84" t="s">
        <v>264</v>
      </c>
      <c r="G84" t="s">
        <v>8</v>
      </c>
      <c r="H84" t="s">
        <v>150</v>
      </c>
      <c r="I84" t="s">
        <v>165</v>
      </c>
      <c r="J84" t="s">
        <v>155</v>
      </c>
      <c r="K84" t="s">
        <v>384</v>
      </c>
      <c r="L84" t="s">
        <v>167</v>
      </c>
      <c r="O84" t="s">
        <v>705</v>
      </c>
      <c r="P84" t="s">
        <v>16</v>
      </c>
      <c r="Q84" s="83">
        <v>45607</v>
      </c>
      <c r="R84" t="s">
        <v>706</v>
      </c>
      <c r="S84" t="s">
        <v>707</v>
      </c>
      <c r="T84" t="s">
        <v>380</v>
      </c>
      <c r="U84" t="s">
        <v>198</v>
      </c>
    </row>
    <row r="85" spans="1:21" x14ac:dyDescent="0.3">
      <c r="A85" t="s">
        <v>708</v>
      </c>
      <c r="B85" t="s">
        <v>262</v>
      </c>
      <c r="D85" t="s">
        <v>263</v>
      </c>
      <c r="E85" t="s">
        <v>34</v>
      </c>
      <c r="G85" t="s">
        <v>263</v>
      </c>
      <c r="H85" t="s">
        <v>150</v>
      </c>
      <c r="I85" t="s">
        <v>153</v>
      </c>
      <c r="J85" t="s">
        <v>177</v>
      </c>
      <c r="K85" t="s">
        <v>407</v>
      </c>
      <c r="L85" t="s">
        <v>167</v>
      </c>
      <c r="O85" t="s">
        <v>709</v>
      </c>
      <c r="P85" t="s">
        <v>85</v>
      </c>
      <c r="Q85" s="83">
        <v>45606</v>
      </c>
      <c r="R85" t="s">
        <v>710</v>
      </c>
      <c r="S85" t="s">
        <v>700</v>
      </c>
      <c r="T85" t="s">
        <v>380</v>
      </c>
      <c r="U85" t="s">
        <v>198</v>
      </c>
    </row>
    <row r="86" spans="1:21" x14ac:dyDescent="0.3">
      <c r="A86" t="s">
        <v>711</v>
      </c>
      <c r="B86" t="s">
        <v>265</v>
      </c>
      <c r="D86" t="s">
        <v>83</v>
      </c>
      <c r="E86" t="s">
        <v>619</v>
      </c>
      <c r="G86" t="s">
        <v>406</v>
      </c>
      <c r="H86" t="s">
        <v>150</v>
      </c>
      <c r="I86" t="s">
        <v>165</v>
      </c>
      <c r="J86" t="s">
        <v>154</v>
      </c>
      <c r="K86" t="s">
        <v>337</v>
      </c>
      <c r="L86" t="s">
        <v>168</v>
      </c>
      <c r="O86" t="s">
        <v>712</v>
      </c>
      <c r="P86" t="s">
        <v>85</v>
      </c>
      <c r="Q86" s="83">
        <v>45608</v>
      </c>
      <c r="R86" t="s">
        <v>706</v>
      </c>
      <c r="S86" t="s">
        <v>713</v>
      </c>
      <c r="T86" t="s">
        <v>380</v>
      </c>
      <c r="U86" t="s">
        <v>198</v>
      </c>
    </row>
    <row r="87" spans="1:21" x14ac:dyDescent="0.3">
      <c r="A87" t="s">
        <v>714</v>
      </c>
      <c r="B87" t="s">
        <v>715</v>
      </c>
      <c r="C87" t="s">
        <v>716</v>
      </c>
      <c r="D87" t="s">
        <v>266</v>
      </c>
      <c r="E87" t="s">
        <v>107</v>
      </c>
      <c r="G87" t="s">
        <v>8</v>
      </c>
      <c r="H87" t="s">
        <v>150</v>
      </c>
      <c r="I87" t="s">
        <v>153</v>
      </c>
      <c r="J87" t="s">
        <v>177</v>
      </c>
      <c r="K87" t="s">
        <v>717</v>
      </c>
      <c r="L87" t="s">
        <v>173</v>
      </c>
      <c r="O87" t="s">
        <v>718</v>
      </c>
      <c r="P87" t="s">
        <v>16</v>
      </c>
      <c r="Q87" s="83">
        <v>45608</v>
      </c>
      <c r="R87" t="s">
        <v>719</v>
      </c>
      <c r="S87" t="s">
        <v>707</v>
      </c>
      <c r="T87" t="s">
        <v>380</v>
      </c>
      <c r="U87" t="s">
        <v>198</v>
      </c>
    </row>
    <row r="88" spans="1:21" x14ac:dyDescent="0.3">
      <c r="A88" t="s">
        <v>720</v>
      </c>
      <c r="B88" t="s">
        <v>721</v>
      </c>
      <c r="C88" t="s">
        <v>722</v>
      </c>
      <c r="D88" t="s">
        <v>267</v>
      </c>
      <c r="E88" t="s">
        <v>34</v>
      </c>
      <c r="G88" t="s">
        <v>8</v>
      </c>
      <c r="H88" t="s">
        <v>150</v>
      </c>
      <c r="I88" t="s">
        <v>165</v>
      </c>
      <c r="J88" t="s">
        <v>154</v>
      </c>
      <c r="K88" t="s">
        <v>384</v>
      </c>
      <c r="L88" t="s">
        <v>167</v>
      </c>
      <c r="O88" t="s">
        <v>723</v>
      </c>
      <c r="P88" t="s">
        <v>16</v>
      </c>
      <c r="Q88" s="83">
        <v>45610</v>
      </c>
      <c r="R88" t="s">
        <v>724</v>
      </c>
      <c r="S88" t="s">
        <v>707</v>
      </c>
      <c r="T88" t="s">
        <v>380</v>
      </c>
      <c r="U88" t="s">
        <v>198</v>
      </c>
    </row>
    <row r="89" spans="1:21" x14ac:dyDescent="0.3">
      <c r="A89" t="s">
        <v>725</v>
      </c>
      <c r="B89" t="s">
        <v>269</v>
      </c>
      <c r="D89" t="s">
        <v>83</v>
      </c>
      <c r="E89" t="s">
        <v>619</v>
      </c>
      <c r="G89" t="s">
        <v>406</v>
      </c>
      <c r="H89" t="s">
        <v>150</v>
      </c>
      <c r="I89" t="s">
        <v>165</v>
      </c>
      <c r="J89" t="s">
        <v>152</v>
      </c>
      <c r="K89" t="s">
        <v>407</v>
      </c>
      <c r="L89" t="s">
        <v>172</v>
      </c>
      <c r="O89" t="s">
        <v>726</v>
      </c>
      <c r="P89" t="s">
        <v>85</v>
      </c>
      <c r="Q89" s="83">
        <v>45610</v>
      </c>
      <c r="R89" t="s">
        <v>707</v>
      </c>
      <c r="S89" t="s">
        <v>713</v>
      </c>
      <c r="T89" t="s">
        <v>380</v>
      </c>
      <c r="U89" t="s">
        <v>198</v>
      </c>
    </row>
    <row r="90" spans="1:21" x14ac:dyDescent="0.3">
      <c r="A90" t="s">
        <v>727</v>
      </c>
      <c r="B90" t="s">
        <v>271</v>
      </c>
      <c r="D90" t="s">
        <v>83</v>
      </c>
      <c r="E90" t="s">
        <v>272</v>
      </c>
      <c r="G90" t="s">
        <v>406</v>
      </c>
      <c r="H90" t="s">
        <v>150</v>
      </c>
      <c r="I90" t="s">
        <v>165</v>
      </c>
      <c r="J90" t="s">
        <v>152</v>
      </c>
      <c r="K90" t="s">
        <v>337</v>
      </c>
      <c r="L90" t="s">
        <v>168</v>
      </c>
      <c r="O90" t="s">
        <v>728</v>
      </c>
      <c r="P90" t="s">
        <v>85</v>
      </c>
      <c r="Q90" s="83">
        <v>45610</v>
      </c>
      <c r="R90" t="s">
        <v>707</v>
      </c>
      <c r="S90" t="s">
        <v>713</v>
      </c>
      <c r="T90" t="s">
        <v>380</v>
      </c>
      <c r="U90" t="s">
        <v>198</v>
      </c>
    </row>
    <row r="91" spans="1:21" x14ac:dyDescent="0.3">
      <c r="A91" t="s">
        <v>729</v>
      </c>
      <c r="B91" t="s">
        <v>730</v>
      </c>
      <c r="D91" t="s">
        <v>731</v>
      </c>
      <c r="E91" t="s">
        <v>278</v>
      </c>
      <c r="F91" t="s">
        <v>732</v>
      </c>
      <c r="G91" t="s">
        <v>733</v>
      </c>
      <c r="H91" t="s">
        <v>150</v>
      </c>
      <c r="I91" t="s">
        <v>165</v>
      </c>
      <c r="J91" t="s">
        <v>155</v>
      </c>
      <c r="K91" t="s">
        <v>384</v>
      </c>
      <c r="L91" t="s">
        <v>167</v>
      </c>
      <c r="O91" t="s">
        <v>734</v>
      </c>
      <c r="P91" t="s">
        <v>16</v>
      </c>
      <c r="Q91" s="83">
        <v>45613</v>
      </c>
      <c r="R91" t="s">
        <v>735</v>
      </c>
      <c r="S91" t="s">
        <v>706</v>
      </c>
      <c r="T91" t="s">
        <v>380</v>
      </c>
      <c r="U91" t="s">
        <v>198</v>
      </c>
    </row>
    <row r="92" spans="1:21" x14ac:dyDescent="0.3">
      <c r="A92" t="s">
        <v>736</v>
      </c>
      <c r="B92" t="s">
        <v>737</v>
      </c>
      <c r="C92" t="s">
        <v>738</v>
      </c>
      <c r="D92" t="s">
        <v>131</v>
      </c>
      <c r="E92" t="s">
        <v>278</v>
      </c>
      <c r="G92" t="s">
        <v>8</v>
      </c>
      <c r="H92" t="s">
        <v>150</v>
      </c>
      <c r="I92" t="s">
        <v>165</v>
      </c>
      <c r="J92" t="s">
        <v>154</v>
      </c>
      <c r="K92" t="s">
        <v>337</v>
      </c>
      <c r="L92" t="s">
        <v>168</v>
      </c>
      <c r="O92" t="s">
        <v>739</v>
      </c>
      <c r="P92" t="s">
        <v>740</v>
      </c>
      <c r="Q92" s="83">
        <v>45616</v>
      </c>
      <c r="R92" t="s">
        <v>741</v>
      </c>
      <c r="S92" t="s">
        <v>706</v>
      </c>
      <c r="T92" t="s">
        <v>380</v>
      </c>
      <c r="U92" t="s">
        <v>198</v>
      </c>
    </row>
    <row r="93" spans="1:21" x14ac:dyDescent="0.3">
      <c r="A93" t="s">
        <v>742</v>
      </c>
      <c r="D93" t="s">
        <v>43</v>
      </c>
      <c r="E93" t="s">
        <v>42</v>
      </c>
      <c r="G93" t="s">
        <v>43</v>
      </c>
      <c r="H93" t="s">
        <v>150</v>
      </c>
      <c r="I93" t="s">
        <v>153</v>
      </c>
      <c r="J93" t="s">
        <v>280</v>
      </c>
      <c r="K93" t="s">
        <v>717</v>
      </c>
      <c r="L93" t="s">
        <v>168</v>
      </c>
      <c r="O93" t="s">
        <v>743</v>
      </c>
      <c r="P93" t="s">
        <v>85</v>
      </c>
      <c r="Q93" s="83">
        <v>45610</v>
      </c>
      <c r="R93" t="s">
        <v>744</v>
      </c>
    </row>
    <row r="94" spans="1:21" x14ac:dyDescent="0.3">
      <c r="A94" t="s">
        <v>745</v>
      </c>
      <c r="B94" t="s">
        <v>746</v>
      </c>
      <c r="C94" t="s">
        <v>747</v>
      </c>
      <c r="D94" t="s">
        <v>748</v>
      </c>
      <c r="E94" t="s">
        <v>749</v>
      </c>
      <c r="G94" t="s">
        <v>8</v>
      </c>
      <c r="H94" t="s">
        <v>150</v>
      </c>
      <c r="I94" t="s">
        <v>153</v>
      </c>
      <c r="J94" t="s">
        <v>156</v>
      </c>
      <c r="K94" t="s">
        <v>407</v>
      </c>
      <c r="L94" t="s">
        <v>172</v>
      </c>
      <c r="O94" t="s">
        <v>750</v>
      </c>
      <c r="P94" t="s">
        <v>751</v>
      </c>
      <c r="Q94" s="83">
        <v>45620</v>
      </c>
      <c r="R94" t="s">
        <v>741</v>
      </c>
      <c r="S94" t="s">
        <v>752</v>
      </c>
      <c r="T94" t="s">
        <v>380</v>
      </c>
      <c r="U94" t="s">
        <v>198</v>
      </c>
    </row>
    <row r="95" spans="1:21" x14ac:dyDescent="0.3">
      <c r="A95" t="s">
        <v>753</v>
      </c>
      <c r="D95" t="s">
        <v>43</v>
      </c>
      <c r="E95" t="s">
        <v>42</v>
      </c>
      <c r="G95" t="s">
        <v>43</v>
      </c>
      <c r="H95" t="s">
        <v>205</v>
      </c>
      <c r="I95" t="s">
        <v>288</v>
      </c>
      <c r="J95" t="s">
        <v>288</v>
      </c>
      <c r="O95" t="s">
        <v>378</v>
      </c>
      <c r="P95" t="s">
        <v>378</v>
      </c>
      <c r="Q95" s="83">
        <v>45615</v>
      </c>
      <c r="R95" t="s">
        <v>741</v>
      </c>
      <c r="S95" t="s">
        <v>594</v>
      </c>
      <c r="T95" t="s">
        <v>754</v>
      </c>
      <c r="U95" t="s">
        <v>198</v>
      </c>
    </row>
    <row r="96" spans="1:21" x14ac:dyDescent="0.3">
      <c r="A96" t="s">
        <v>755</v>
      </c>
      <c r="B96" t="s">
        <v>756</v>
      </c>
      <c r="C96" t="s">
        <v>757</v>
      </c>
      <c r="D96" t="s">
        <v>290</v>
      </c>
      <c r="E96" t="s">
        <v>758</v>
      </c>
      <c r="G96" t="s">
        <v>8</v>
      </c>
      <c r="H96" t="s">
        <v>292</v>
      </c>
      <c r="J96" t="s">
        <v>293</v>
      </c>
      <c r="O96" t="s">
        <v>759</v>
      </c>
      <c r="P96" t="s">
        <v>16</v>
      </c>
      <c r="Q96" s="83">
        <v>45623</v>
      </c>
      <c r="R96" t="s">
        <v>752</v>
      </c>
      <c r="S96" t="s">
        <v>760</v>
      </c>
      <c r="T96" t="s">
        <v>330</v>
      </c>
      <c r="U96" t="s">
        <v>198</v>
      </c>
    </row>
    <row r="97" spans="1:21" x14ac:dyDescent="0.3">
      <c r="A97" t="s">
        <v>761</v>
      </c>
      <c r="B97" t="s">
        <v>762</v>
      </c>
      <c r="C97" t="s">
        <v>763</v>
      </c>
      <c r="D97" t="s">
        <v>298</v>
      </c>
      <c r="E97" t="s">
        <v>299</v>
      </c>
      <c r="G97" t="s">
        <v>8</v>
      </c>
      <c r="H97" t="s">
        <v>150</v>
      </c>
      <c r="I97" t="s">
        <v>165</v>
      </c>
      <c r="J97" t="s">
        <v>155</v>
      </c>
      <c r="K97" t="s">
        <v>348</v>
      </c>
      <c r="L97" t="s">
        <v>168</v>
      </c>
      <c r="O97" t="s">
        <v>764</v>
      </c>
      <c r="P97" t="s">
        <v>16</v>
      </c>
      <c r="Q97" s="83">
        <v>45625</v>
      </c>
      <c r="R97" t="s">
        <v>765</v>
      </c>
      <c r="T97" t="s">
        <v>319</v>
      </c>
      <c r="U97" t="s">
        <v>236</v>
      </c>
    </row>
    <row r="98" spans="1:21" x14ac:dyDescent="0.3">
      <c r="A98" t="s">
        <v>766</v>
      </c>
      <c r="B98" t="s">
        <v>767</v>
      </c>
      <c r="C98" t="s">
        <v>768</v>
      </c>
      <c r="D98" t="s">
        <v>309</v>
      </c>
      <c r="E98" t="s">
        <v>310</v>
      </c>
      <c r="G98" t="s">
        <v>8</v>
      </c>
      <c r="H98" t="s">
        <v>150</v>
      </c>
      <c r="I98" t="s">
        <v>165</v>
      </c>
      <c r="J98" t="s">
        <v>152</v>
      </c>
      <c r="K98" t="s">
        <v>384</v>
      </c>
      <c r="L98" t="s">
        <v>167</v>
      </c>
      <c r="O98" t="s">
        <v>705</v>
      </c>
      <c r="P98" t="s">
        <v>16</v>
      </c>
      <c r="Q98" s="83">
        <v>45628</v>
      </c>
      <c r="R98" t="s">
        <v>656</v>
      </c>
      <c r="U98" t="s">
        <v>236</v>
      </c>
    </row>
    <row r="99" spans="1:21" x14ac:dyDescent="0.3">
      <c r="A99" t="s">
        <v>769</v>
      </c>
      <c r="B99" t="s">
        <v>311</v>
      </c>
      <c r="D99" t="s">
        <v>83</v>
      </c>
      <c r="E99" t="s">
        <v>619</v>
      </c>
      <c r="G99" t="s">
        <v>406</v>
      </c>
      <c r="H99" t="s">
        <v>150</v>
      </c>
      <c r="I99" t="s">
        <v>165</v>
      </c>
      <c r="J99" t="s">
        <v>155</v>
      </c>
      <c r="K99" t="s">
        <v>337</v>
      </c>
      <c r="L99" t="s">
        <v>170</v>
      </c>
      <c r="O99" t="s">
        <v>770</v>
      </c>
      <c r="P99" t="s">
        <v>85</v>
      </c>
      <c r="Q99" s="83">
        <v>45627</v>
      </c>
      <c r="R99" t="s">
        <v>771</v>
      </c>
      <c r="S99" t="s">
        <v>752</v>
      </c>
      <c r="T99" t="s">
        <v>380</v>
      </c>
      <c r="U99" t="s">
        <v>198</v>
      </c>
    </row>
    <row r="100" spans="1:21" x14ac:dyDescent="0.3">
      <c r="A100" t="s">
        <v>772</v>
      </c>
      <c r="B100" t="s">
        <v>773</v>
      </c>
      <c r="D100" t="s">
        <v>313</v>
      </c>
      <c r="E100" t="s">
        <v>774</v>
      </c>
      <c r="G100" t="s">
        <v>52</v>
      </c>
      <c r="H100" t="s">
        <v>150</v>
      </c>
      <c r="I100" t="s">
        <v>165</v>
      </c>
      <c r="J100" t="s">
        <v>154</v>
      </c>
      <c r="L100" t="s">
        <v>168</v>
      </c>
      <c r="O100" t="s">
        <v>775</v>
      </c>
      <c r="P100" t="s">
        <v>776</v>
      </c>
      <c r="Q100" s="83">
        <v>45635</v>
      </c>
      <c r="R100" t="s">
        <v>777</v>
      </c>
      <c r="S100" t="s">
        <v>778</v>
      </c>
      <c r="T100" t="s">
        <v>380</v>
      </c>
      <c r="U100" t="s">
        <v>198</v>
      </c>
    </row>
    <row r="101" spans="1:21" x14ac:dyDescent="0.3">
      <c r="A101" t="s">
        <v>779</v>
      </c>
      <c r="B101" t="s">
        <v>780</v>
      </c>
      <c r="C101" t="s">
        <v>781</v>
      </c>
      <c r="D101" t="s">
        <v>317</v>
      </c>
      <c r="E101" t="s">
        <v>278</v>
      </c>
      <c r="G101" t="s">
        <v>8</v>
      </c>
      <c r="H101" t="s">
        <v>150</v>
      </c>
      <c r="I101" t="s">
        <v>165</v>
      </c>
      <c r="J101" t="s">
        <v>152</v>
      </c>
      <c r="K101" t="s">
        <v>384</v>
      </c>
      <c r="L101" t="s">
        <v>168</v>
      </c>
      <c r="O101" t="s">
        <v>526</v>
      </c>
      <c r="P101" t="s">
        <v>782</v>
      </c>
      <c r="Q101" s="83">
        <v>45638</v>
      </c>
      <c r="R101" t="s">
        <v>783</v>
      </c>
      <c r="S101" t="s">
        <v>784</v>
      </c>
      <c r="T101" t="s">
        <v>380</v>
      </c>
      <c r="U101" t="s">
        <v>198</v>
      </c>
    </row>
    <row r="102" spans="1:21" x14ac:dyDescent="0.3">
      <c r="A102" t="s">
        <v>785</v>
      </c>
      <c r="B102" t="s">
        <v>786</v>
      </c>
      <c r="C102" t="s">
        <v>787</v>
      </c>
      <c r="D102" t="s">
        <v>143</v>
      </c>
      <c r="E102" t="s">
        <v>144</v>
      </c>
      <c r="G102" t="s">
        <v>8</v>
      </c>
      <c r="H102" t="s">
        <v>150</v>
      </c>
      <c r="I102" t="s">
        <v>151</v>
      </c>
      <c r="L102" t="s">
        <v>168</v>
      </c>
      <c r="M102" t="s">
        <v>168</v>
      </c>
      <c r="N102" t="s">
        <v>145</v>
      </c>
      <c r="O102" t="s">
        <v>788</v>
      </c>
      <c r="P102" t="s">
        <v>16</v>
      </c>
      <c r="Q102" s="83">
        <v>-611888</v>
      </c>
      <c r="R102" t="s">
        <v>454</v>
      </c>
      <c r="S102" t="s">
        <v>192</v>
      </c>
      <c r="T102" t="s">
        <v>192</v>
      </c>
      <c r="U102" t="s">
        <v>192</v>
      </c>
    </row>
    <row r="103" spans="1:21" x14ac:dyDescent="0.3">
      <c r="A103" t="s">
        <v>789</v>
      </c>
      <c r="B103" t="s">
        <v>790</v>
      </c>
      <c r="C103" t="s">
        <v>791</v>
      </c>
      <c r="D103" t="s">
        <v>792</v>
      </c>
      <c r="E103" t="s">
        <v>278</v>
      </c>
      <c r="G103" t="s">
        <v>8</v>
      </c>
      <c r="H103" t="s">
        <v>150</v>
      </c>
      <c r="I103" t="s">
        <v>151</v>
      </c>
      <c r="L103" t="s">
        <v>168</v>
      </c>
      <c r="M103" t="s">
        <v>168</v>
      </c>
      <c r="N103" t="s">
        <v>105</v>
      </c>
      <c r="O103" t="s">
        <v>788</v>
      </c>
      <c r="P103" t="s">
        <v>16</v>
      </c>
      <c r="Q103" s="83">
        <v>45548</v>
      </c>
      <c r="R103" t="s">
        <v>465</v>
      </c>
      <c r="S103" t="s">
        <v>209</v>
      </c>
      <c r="T103" t="s">
        <v>330</v>
      </c>
      <c r="U103" t="s">
        <v>198</v>
      </c>
    </row>
    <row r="104" spans="1:21" x14ac:dyDescent="0.3">
      <c r="A104" t="s">
        <v>793</v>
      </c>
      <c r="B104" t="s">
        <v>794</v>
      </c>
      <c r="C104" t="s">
        <v>795</v>
      </c>
      <c r="D104" t="s">
        <v>99</v>
      </c>
      <c r="E104" t="s">
        <v>67</v>
      </c>
      <c r="G104" t="s">
        <v>8</v>
      </c>
      <c r="H104" t="s">
        <v>150</v>
      </c>
      <c r="I104" t="s">
        <v>153</v>
      </c>
      <c r="J104" t="s">
        <v>178</v>
      </c>
      <c r="K104" t="s">
        <v>525</v>
      </c>
      <c r="L104" t="s">
        <v>176</v>
      </c>
      <c r="M104" t="s">
        <v>172</v>
      </c>
      <c r="N104" t="s">
        <v>796</v>
      </c>
      <c r="O104" t="s">
        <v>797</v>
      </c>
      <c r="P104" t="s">
        <v>16</v>
      </c>
      <c r="Q104" s="83">
        <v>45548</v>
      </c>
      <c r="R104" t="s">
        <v>471</v>
      </c>
      <c r="S104" t="s">
        <v>481</v>
      </c>
      <c r="T104" t="s">
        <v>380</v>
      </c>
      <c r="U104" t="s">
        <v>198</v>
      </c>
    </row>
    <row r="105" spans="1:21" x14ac:dyDescent="0.3">
      <c r="A105" t="s">
        <v>798</v>
      </c>
      <c r="B105" t="s">
        <v>799</v>
      </c>
      <c r="C105" t="s">
        <v>800</v>
      </c>
      <c r="D105" t="s">
        <v>801</v>
      </c>
      <c r="E105" t="s">
        <v>67</v>
      </c>
      <c r="G105" t="s">
        <v>8</v>
      </c>
      <c r="H105" t="s">
        <v>161</v>
      </c>
      <c r="I105" t="s">
        <v>164</v>
      </c>
      <c r="L105" t="s">
        <v>168</v>
      </c>
      <c r="M105" t="s">
        <v>172</v>
      </c>
      <c r="N105" t="s">
        <v>802</v>
      </c>
      <c r="O105" t="s">
        <v>803</v>
      </c>
      <c r="P105" t="s">
        <v>16</v>
      </c>
      <c r="Q105" s="83">
        <v>45548</v>
      </c>
      <c r="R105" t="s">
        <v>513</v>
      </c>
      <c r="S105" t="s">
        <v>330</v>
      </c>
      <c r="T105" t="s">
        <v>380</v>
      </c>
      <c r="U105" t="s">
        <v>198</v>
      </c>
    </row>
    <row r="106" spans="1:21" x14ac:dyDescent="0.3">
      <c r="A106" t="s">
        <v>804</v>
      </c>
      <c r="B106" t="s">
        <v>805</v>
      </c>
      <c r="C106" t="s">
        <v>806</v>
      </c>
      <c r="D106" t="s">
        <v>119</v>
      </c>
      <c r="E106" t="s">
        <v>278</v>
      </c>
      <c r="G106" t="s">
        <v>8</v>
      </c>
      <c r="H106" t="s">
        <v>150</v>
      </c>
      <c r="I106" t="s">
        <v>151</v>
      </c>
      <c r="L106" t="s">
        <v>168</v>
      </c>
      <c r="M106" t="s">
        <v>168</v>
      </c>
      <c r="N106" t="s">
        <v>807</v>
      </c>
      <c r="O106" t="s">
        <v>788</v>
      </c>
      <c r="P106" t="s">
        <v>16</v>
      </c>
      <c r="Q106" s="83">
        <v>45549</v>
      </c>
      <c r="R106" t="s">
        <v>555</v>
      </c>
      <c r="S106" t="s">
        <v>538</v>
      </c>
      <c r="T106" t="s">
        <v>380</v>
      </c>
      <c r="U106" t="s">
        <v>198</v>
      </c>
    </row>
    <row r="107" spans="1:21" x14ac:dyDescent="0.3">
      <c r="A107" t="s">
        <v>808</v>
      </c>
      <c r="B107" t="s">
        <v>809</v>
      </c>
      <c r="C107" t="s">
        <v>810</v>
      </c>
      <c r="D107" t="s">
        <v>116</v>
      </c>
      <c r="E107" t="s">
        <v>117</v>
      </c>
      <c r="G107" t="s">
        <v>8</v>
      </c>
      <c r="H107" t="s">
        <v>161</v>
      </c>
      <c r="I107" t="s">
        <v>164</v>
      </c>
      <c r="L107" t="s">
        <v>168</v>
      </c>
      <c r="M107" t="s">
        <v>172</v>
      </c>
      <c r="N107" t="s">
        <v>802</v>
      </c>
      <c r="O107" t="s">
        <v>803</v>
      </c>
      <c r="P107" t="s">
        <v>16</v>
      </c>
      <c r="Q107" s="83">
        <v>45549</v>
      </c>
      <c r="R107" t="s">
        <v>594</v>
      </c>
      <c r="U107" t="s">
        <v>193</v>
      </c>
    </row>
    <row r="108" spans="1:21" x14ac:dyDescent="0.3">
      <c r="A108" t="s">
        <v>811</v>
      </c>
      <c r="B108" t="s">
        <v>812</v>
      </c>
      <c r="C108" t="s">
        <v>813</v>
      </c>
      <c r="D108" t="s">
        <v>133</v>
      </c>
      <c r="E108" t="s">
        <v>67</v>
      </c>
      <c r="G108" t="s">
        <v>8</v>
      </c>
      <c r="H108" t="s">
        <v>161</v>
      </c>
      <c r="I108" t="s">
        <v>164</v>
      </c>
      <c r="L108" t="s">
        <v>168</v>
      </c>
      <c r="M108" t="s">
        <v>172</v>
      </c>
      <c r="N108" t="s">
        <v>802</v>
      </c>
      <c r="O108" t="s">
        <v>803</v>
      </c>
      <c r="P108" t="s">
        <v>16</v>
      </c>
      <c r="Q108" s="83">
        <v>45549</v>
      </c>
      <c r="R108" t="s">
        <v>594</v>
      </c>
      <c r="S108" t="s">
        <v>649</v>
      </c>
      <c r="T108" t="s">
        <v>380</v>
      </c>
      <c r="U108" t="s">
        <v>198</v>
      </c>
    </row>
    <row r="109" spans="1:21" x14ac:dyDescent="0.3">
      <c r="A109" t="s">
        <v>814</v>
      </c>
      <c r="B109" t="s">
        <v>815</v>
      </c>
      <c r="C109" t="s">
        <v>816</v>
      </c>
      <c r="D109" t="s">
        <v>185</v>
      </c>
      <c r="E109" t="s">
        <v>186</v>
      </c>
      <c r="G109" t="s">
        <v>8</v>
      </c>
      <c r="H109" t="s">
        <v>161</v>
      </c>
      <c r="I109" t="s">
        <v>164</v>
      </c>
      <c r="L109" t="s">
        <v>168</v>
      </c>
      <c r="M109" t="s">
        <v>172</v>
      </c>
      <c r="O109" t="s">
        <v>803</v>
      </c>
      <c r="P109" t="s">
        <v>16</v>
      </c>
      <c r="Q109" s="83">
        <v>45550</v>
      </c>
      <c r="R109" t="s">
        <v>594</v>
      </c>
      <c r="S109" t="s">
        <v>569</v>
      </c>
      <c r="T109" t="s">
        <v>380</v>
      </c>
      <c r="U109" t="s">
        <v>198</v>
      </c>
    </row>
    <row r="110" spans="1:21" x14ac:dyDescent="0.3">
      <c r="A110" t="s">
        <v>817</v>
      </c>
      <c r="B110" t="s">
        <v>818</v>
      </c>
      <c r="D110" t="s">
        <v>52</v>
      </c>
      <c r="E110" t="s">
        <v>230</v>
      </c>
      <c r="G110" t="s">
        <v>52</v>
      </c>
      <c r="H110" t="s">
        <v>205</v>
      </c>
      <c r="I110" t="s">
        <v>206</v>
      </c>
      <c r="M110" t="s">
        <v>819</v>
      </c>
      <c r="O110" t="s">
        <v>820</v>
      </c>
      <c r="P110" t="s">
        <v>16</v>
      </c>
      <c r="Q110" s="83">
        <v>45561</v>
      </c>
      <c r="R110" t="s">
        <v>642</v>
      </c>
      <c r="S110" t="s">
        <v>580</v>
      </c>
      <c r="T110" t="s">
        <v>380</v>
      </c>
      <c r="U110" t="s">
        <v>198</v>
      </c>
    </row>
    <row r="111" spans="1:21" x14ac:dyDescent="0.3">
      <c r="A111" t="s">
        <v>821</v>
      </c>
      <c r="D111" t="s">
        <v>210</v>
      </c>
      <c r="E111" t="s">
        <v>212</v>
      </c>
      <c r="G111" t="s">
        <v>212</v>
      </c>
      <c r="H111" t="s">
        <v>150</v>
      </c>
      <c r="I111" t="s">
        <v>151</v>
      </c>
      <c r="L111" t="s">
        <v>217</v>
      </c>
      <c r="M111" t="s">
        <v>218</v>
      </c>
      <c r="O111" t="s">
        <v>822</v>
      </c>
      <c r="Q111" s="83">
        <v>45566</v>
      </c>
      <c r="R111" t="s">
        <v>649</v>
      </c>
      <c r="S111" t="s">
        <v>649</v>
      </c>
      <c r="T111" t="s">
        <v>650</v>
      </c>
      <c r="U111" t="s">
        <v>198</v>
      </c>
    </row>
    <row r="112" spans="1:21" x14ac:dyDescent="0.3">
      <c r="A112" t="s">
        <v>384</v>
      </c>
      <c r="D112" t="s">
        <v>210</v>
      </c>
      <c r="E112" t="s">
        <v>212</v>
      </c>
      <c r="G112" t="s">
        <v>212</v>
      </c>
      <c r="H112" t="s">
        <v>205</v>
      </c>
      <c r="I112" t="s">
        <v>215</v>
      </c>
      <c r="L112" t="s">
        <v>168</v>
      </c>
      <c r="M112" t="s">
        <v>216</v>
      </c>
      <c r="O112" t="s">
        <v>823</v>
      </c>
      <c r="Q112" s="83">
        <v>45566</v>
      </c>
      <c r="R112" t="s">
        <v>649</v>
      </c>
      <c r="S112" t="s">
        <v>649</v>
      </c>
      <c r="T112" t="s">
        <v>650</v>
      </c>
      <c r="U112" t="s">
        <v>198</v>
      </c>
    </row>
    <row r="113" spans="1:21" x14ac:dyDescent="0.3">
      <c r="A113" t="s">
        <v>824</v>
      </c>
      <c r="D113" t="s">
        <v>210</v>
      </c>
      <c r="E113" t="s">
        <v>212</v>
      </c>
      <c r="G113" t="s">
        <v>212</v>
      </c>
      <c r="H113" t="s">
        <v>219</v>
      </c>
      <c r="L113" t="s">
        <v>168</v>
      </c>
      <c r="M113" t="s">
        <v>819</v>
      </c>
      <c r="Q113" s="83">
        <v>45566</v>
      </c>
      <c r="R113" t="s">
        <v>649</v>
      </c>
      <c r="S113" t="s">
        <v>649</v>
      </c>
      <c r="T113" t="s">
        <v>650</v>
      </c>
      <c r="U113" t="s">
        <v>198</v>
      </c>
    </row>
    <row r="114" spans="1:21" x14ac:dyDescent="0.3">
      <c r="A114" t="s">
        <v>825</v>
      </c>
      <c r="B114" t="s">
        <v>826</v>
      </c>
      <c r="C114" t="s">
        <v>827</v>
      </c>
      <c r="D114" t="s">
        <v>221</v>
      </c>
      <c r="E114" t="s">
        <v>222</v>
      </c>
      <c r="G114" t="s">
        <v>8</v>
      </c>
      <c r="H114" t="s">
        <v>150</v>
      </c>
      <c r="I114" t="s">
        <v>151</v>
      </c>
      <c r="L114" t="s">
        <v>168</v>
      </c>
      <c r="M114" t="s">
        <v>168</v>
      </c>
      <c r="O114" t="s">
        <v>828</v>
      </c>
      <c r="P114" t="s">
        <v>829</v>
      </c>
      <c r="Q114" s="83">
        <v>45568</v>
      </c>
      <c r="R114" t="s">
        <v>830</v>
      </c>
    </row>
    <row r="115" spans="1:21" x14ac:dyDescent="0.3">
      <c r="A115" t="s">
        <v>831</v>
      </c>
      <c r="B115" t="s">
        <v>832</v>
      </c>
      <c r="D115" t="s">
        <v>52</v>
      </c>
      <c r="E115" t="s">
        <v>224</v>
      </c>
      <c r="G115" t="s">
        <v>52</v>
      </c>
      <c r="H115" t="s">
        <v>205</v>
      </c>
      <c r="I115" t="s">
        <v>206</v>
      </c>
      <c r="L115" t="s">
        <v>168</v>
      </c>
      <c r="M115" t="s">
        <v>259</v>
      </c>
      <c r="O115" t="s">
        <v>355</v>
      </c>
      <c r="P115" t="s">
        <v>16</v>
      </c>
      <c r="Q115" s="83">
        <v>45573</v>
      </c>
      <c r="R115" t="s">
        <v>555</v>
      </c>
      <c r="S115" t="s">
        <v>556</v>
      </c>
      <c r="T115" t="s">
        <v>380</v>
      </c>
      <c r="U115" t="s">
        <v>198</v>
      </c>
    </row>
    <row r="116" spans="1:21" x14ac:dyDescent="0.3">
      <c r="A116" t="s">
        <v>833</v>
      </c>
      <c r="B116" t="s">
        <v>834</v>
      </c>
      <c r="D116" t="s">
        <v>52</v>
      </c>
      <c r="E116" t="s">
        <v>835</v>
      </c>
      <c r="G116" t="s">
        <v>52</v>
      </c>
      <c r="H116" t="s">
        <v>161</v>
      </c>
      <c r="I116" t="s">
        <v>206</v>
      </c>
      <c r="L116" t="s">
        <v>168</v>
      </c>
      <c r="M116" t="s">
        <v>259</v>
      </c>
      <c r="O116" t="s">
        <v>355</v>
      </c>
      <c r="P116" t="s">
        <v>16</v>
      </c>
      <c r="Q116" s="83">
        <v>45572</v>
      </c>
      <c r="R116" t="s">
        <v>555</v>
      </c>
      <c r="S116" t="s">
        <v>538</v>
      </c>
      <c r="T116" t="s">
        <v>380</v>
      </c>
      <c r="U116" t="s">
        <v>198</v>
      </c>
    </row>
    <row r="117" spans="1:21" x14ac:dyDescent="0.3">
      <c r="A117" t="s">
        <v>836</v>
      </c>
      <c r="B117" t="s">
        <v>837</v>
      </c>
      <c r="D117" t="s">
        <v>52</v>
      </c>
      <c r="G117" t="s">
        <v>52</v>
      </c>
      <c r="H117" t="s">
        <v>205</v>
      </c>
      <c r="I117" t="s">
        <v>206</v>
      </c>
      <c r="L117" t="s">
        <v>168</v>
      </c>
      <c r="M117" t="s">
        <v>819</v>
      </c>
      <c r="O117" t="s">
        <v>355</v>
      </c>
      <c r="P117" t="s">
        <v>838</v>
      </c>
      <c r="Q117" s="83">
        <v>45575</v>
      </c>
      <c r="R117" t="s">
        <v>839</v>
      </c>
      <c r="S117" t="s">
        <v>657</v>
      </c>
      <c r="T117" t="s">
        <v>380</v>
      </c>
      <c r="U117" t="s">
        <v>198</v>
      </c>
    </row>
    <row r="118" spans="1:21" x14ac:dyDescent="0.3">
      <c r="A118" t="s">
        <v>337</v>
      </c>
      <c r="B118" t="s">
        <v>241</v>
      </c>
      <c r="D118" t="s">
        <v>240</v>
      </c>
      <c r="E118" t="s">
        <v>242</v>
      </c>
      <c r="F118" t="s">
        <v>840</v>
      </c>
      <c r="G118" t="s">
        <v>263</v>
      </c>
      <c r="H118" t="s">
        <v>150</v>
      </c>
      <c r="I118" t="s">
        <v>153</v>
      </c>
      <c r="J118" t="s">
        <v>244</v>
      </c>
      <c r="K118" t="s">
        <v>525</v>
      </c>
      <c r="L118" t="s">
        <v>819</v>
      </c>
      <c r="M118" t="s">
        <v>245</v>
      </c>
      <c r="O118" t="s">
        <v>841</v>
      </c>
      <c r="P118" t="s">
        <v>16</v>
      </c>
      <c r="Q118" s="83">
        <v>45585</v>
      </c>
      <c r="R118" t="s">
        <v>830</v>
      </c>
      <c r="S118" t="s">
        <v>617</v>
      </c>
      <c r="T118" t="s">
        <v>380</v>
      </c>
      <c r="U118" t="s">
        <v>198</v>
      </c>
    </row>
    <row r="119" spans="1:21" x14ac:dyDescent="0.3">
      <c r="A119" t="s">
        <v>842</v>
      </c>
      <c r="B119" t="s">
        <v>843</v>
      </c>
      <c r="D119" t="s">
        <v>52</v>
      </c>
      <c r="E119" t="s">
        <v>224</v>
      </c>
      <c r="G119" t="s">
        <v>52</v>
      </c>
      <c r="H119" t="s">
        <v>205</v>
      </c>
      <c r="I119" t="s">
        <v>206</v>
      </c>
      <c r="J119" t="s">
        <v>258</v>
      </c>
      <c r="L119" t="s">
        <v>168</v>
      </c>
      <c r="M119" t="s">
        <v>259</v>
      </c>
      <c r="O119" t="s">
        <v>844</v>
      </c>
      <c r="P119" t="s">
        <v>260</v>
      </c>
      <c r="Q119" s="83">
        <v>45604</v>
      </c>
      <c r="R119" t="s">
        <v>845</v>
      </c>
      <c r="S119" t="s">
        <v>617</v>
      </c>
      <c r="T119" t="s">
        <v>380</v>
      </c>
      <c r="U119" t="s">
        <v>198</v>
      </c>
    </row>
    <row r="120" spans="1:21" x14ac:dyDescent="0.3">
      <c r="A120" t="s">
        <v>846</v>
      </c>
      <c r="D120" t="s">
        <v>281</v>
      </c>
      <c r="E120" t="s">
        <v>49</v>
      </c>
      <c r="G120" t="s">
        <v>282</v>
      </c>
      <c r="H120" t="s">
        <v>150</v>
      </c>
      <c r="I120" t="s">
        <v>153</v>
      </c>
      <c r="J120" t="s">
        <v>847</v>
      </c>
      <c r="K120" t="s">
        <v>717</v>
      </c>
      <c r="L120" t="s">
        <v>176</v>
      </c>
      <c r="M120" t="s">
        <v>167</v>
      </c>
      <c r="O120" t="s">
        <v>284</v>
      </c>
      <c r="P120" t="s">
        <v>848</v>
      </c>
      <c r="Q120" s="83">
        <v>45618</v>
      </c>
      <c r="R120" t="s">
        <v>849</v>
      </c>
      <c r="S120" t="s">
        <v>707</v>
      </c>
      <c r="T120" t="s">
        <v>380</v>
      </c>
      <c r="U120" t="s">
        <v>198</v>
      </c>
    </row>
    <row r="121" spans="1:21" x14ac:dyDescent="0.3">
      <c r="A121" t="s">
        <v>850</v>
      </c>
      <c r="B121" t="s">
        <v>851</v>
      </c>
      <c r="C121" t="s">
        <v>852</v>
      </c>
      <c r="D121" t="s">
        <v>294</v>
      </c>
      <c r="E121" t="s">
        <v>415</v>
      </c>
      <c r="G121" t="s">
        <v>8</v>
      </c>
      <c r="H121" t="s">
        <v>292</v>
      </c>
      <c r="I121" t="s">
        <v>316</v>
      </c>
      <c r="J121" t="s">
        <v>296</v>
      </c>
      <c r="L121" t="s">
        <v>167</v>
      </c>
      <c r="M121" t="s">
        <v>297</v>
      </c>
      <c r="O121" t="s">
        <v>853</v>
      </c>
      <c r="P121" t="s">
        <v>854</v>
      </c>
      <c r="Q121" s="83">
        <v>45623</v>
      </c>
      <c r="R121" t="s">
        <v>752</v>
      </c>
      <c r="S121" t="s">
        <v>661</v>
      </c>
      <c r="T121" t="s">
        <v>380</v>
      </c>
      <c r="U121" t="s">
        <v>198</v>
      </c>
    </row>
    <row r="122" spans="1:21" x14ac:dyDescent="0.3">
      <c r="A122" t="s">
        <v>855</v>
      </c>
      <c r="B122" t="s">
        <v>856</v>
      </c>
      <c r="C122" t="s">
        <v>857</v>
      </c>
      <c r="D122" t="s">
        <v>303</v>
      </c>
      <c r="E122" t="s">
        <v>67</v>
      </c>
      <c r="G122" t="s">
        <v>8</v>
      </c>
      <c r="H122" t="s">
        <v>292</v>
      </c>
      <c r="I122" t="s">
        <v>316</v>
      </c>
      <c r="J122" t="s">
        <v>296</v>
      </c>
      <c r="L122" t="s">
        <v>168</v>
      </c>
      <c r="M122" t="s">
        <v>302</v>
      </c>
      <c r="O122" t="s">
        <v>853</v>
      </c>
      <c r="P122" t="s">
        <v>16</v>
      </c>
      <c r="Q122" s="83">
        <v>45626</v>
      </c>
      <c r="R122" t="s">
        <v>778</v>
      </c>
      <c r="U122" t="s">
        <v>236</v>
      </c>
    </row>
    <row r="123" spans="1:21" x14ac:dyDescent="0.3">
      <c r="A123" t="s">
        <v>858</v>
      </c>
      <c r="B123" t="s">
        <v>859</v>
      </c>
      <c r="C123" t="s">
        <v>857</v>
      </c>
      <c r="D123" t="s">
        <v>303</v>
      </c>
      <c r="E123" t="s">
        <v>67</v>
      </c>
      <c r="G123" t="s">
        <v>8</v>
      </c>
      <c r="H123" t="s">
        <v>292</v>
      </c>
      <c r="I123" t="s">
        <v>189</v>
      </c>
      <c r="L123" t="s">
        <v>168</v>
      </c>
      <c r="M123" t="s">
        <v>302</v>
      </c>
      <c r="O123" t="s">
        <v>860</v>
      </c>
      <c r="P123" t="s">
        <v>16</v>
      </c>
      <c r="Q123" s="83">
        <v>45626</v>
      </c>
      <c r="R123" t="s">
        <v>778</v>
      </c>
      <c r="U123" t="s">
        <v>236</v>
      </c>
    </row>
    <row r="124" spans="1:21" x14ac:dyDescent="0.3">
      <c r="A124" t="s">
        <v>407</v>
      </c>
      <c r="B124" t="s">
        <v>861</v>
      </c>
      <c r="C124" t="s">
        <v>862</v>
      </c>
      <c r="D124" t="s">
        <v>306</v>
      </c>
      <c r="E124" t="s">
        <v>144</v>
      </c>
      <c r="G124" t="s">
        <v>8</v>
      </c>
      <c r="H124" t="s">
        <v>292</v>
      </c>
      <c r="I124" t="s">
        <v>307</v>
      </c>
      <c r="L124" t="s">
        <v>168</v>
      </c>
      <c r="M124" t="s">
        <v>218</v>
      </c>
      <c r="O124" t="s">
        <v>860</v>
      </c>
      <c r="P124" t="s">
        <v>16</v>
      </c>
      <c r="Q124" s="83">
        <v>45626</v>
      </c>
      <c r="R124" t="s">
        <v>778</v>
      </c>
    </row>
    <row r="125" spans="1:21" x14ac:dyDescent="0.3">
      <c r="A125" t="s">
        <v>863</v>
      </c>
      <c r="B125" t="s">
        <v>864</v>
      </c>
      <c r="C125" t="s">
        <v>865</v>
      </c>
      <c r="D125" t="s">
        <v>866</v>
      </c>
      <c r="E125" t="s">
        <v>135</v>
      </c>
      <c r="G125" t="s">
        <v>8</v>
      </c>
      <c r="H125" t="s">
        <v>150</v>
      </c>
      <c r="I125" t="s">
        <v>151</v>
      </c>
      <c r="L125" t="s">
        <v>168</v>
      </c>
      <c r="M125" t="s">
        <v>168</v>
      </c>
      <c r="O125" t="s">
        <v>853</v>
      </c>
      <c r="P125" t="s">
        <v>854</v>
      </c>
      <c r="Q125" s="83">
        <v>45630</v>
      </c>
      <c r="R125" t="s">
        <v>771</v>
      </c>
      <c r="S125" t="s">
        <v>661</v>
      </c>
      <c r="T125" t="s">
        <v>380</v>
      </c>
      <c r="U125" t="s">
        <v>198</v>
      </c>
    </row>
    <row r="126" spans="1:21" x14ac:dyDescent="0.3">
      <c r="A126" t="s">
        <v>867</v>
      </c>
      <c r="B126" t="s">
        <v>868</v>
      </c>
      <c r="C126" t="s">
        <v>869</v>
      </c>
      <c r="D126" t="s">
        <v>870</v>
      </c>
      <c r="E126" t="s">
        <v>67</v>
      </c>
      <c r="G126" t="s">
        <v>8</v>
      </c>
      <c r="H126" t="s">
        <v>292</v>
      </c>
      <c r="I126" t="s">
        <v>316</v>
      </c>
      <c r="J126" t="s">
        <v>296</v>
      </c>
      <c r="L126" t="s">
        <v>168</v>
      </c>
      <c r="M126" t="s">
        <v>302</v>
      </c>
      <c r="O126" t="s">
        <v>417</v>
      </c>
      <c r="P126" t="s">
        <v>871</v>
      </c>
      <c r="Q126" s="83">
        <v>45638</v>
      </c>
      <c r="R126" t="s">
        <v>872</v>
      </c>
      <c r="S126" t="s">
        <v>661</v>
      </c>
      <c r="T126" t="s">
        <v>380</v>
      </c>
      <c r="U126" t="s">
        <v>198</v>
      </c>
    </row>
    <row r="127" spans="1:21" x14ac:dyDescent="0.3">
      <c r="A127" t="s">
        <v>873</v>
      </c>
      <c r="B127" t="s">
        <v>874</v>
      </c>
      <c r="D127" t="s">
        <v>52</v>
      </c>
      <c r="E127" t="s">
        <v>224</v>
      </c>
      <c r="G127" t="s">
        <v>52</v>
      </c>
      <c r="H127" t="s">
        <v>205</v>
      </c>
      <c r="I127" t="s">
        <v>206</v>
      </c>
      <c r="J127" t="s">
        <v>258</v>
      </c>
      <c r="L127" t="s">
        <v>168</v>
      </c>
      <c r="M127" t="s">
        <v>318</v>
      </c>
      <c r="O127" t="s">
        <v>875</v>
      </c>
      <c r="P127" t="s">
        <v>85</v>
      </c>
      <c r="Q127" s="83">
        <v>45640</v>
      </c>
      <c r="R127" t="s">
        <v>876</v>
      </c>
      <c r="S127" t="s">
        <v>784</v>
      </c>
      <c r="T127" t="s">
        <v>380</v>
      </c>
      <c r="U127" t="s">
        <v>198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B5583BB-B4D0-4E0D-8E5F-9B95B364C52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Raw_Data</vt:lpstr>
      <vt:lpstr>Main_Data (Cleaned)</vt:lpstr>
      <vt:lpstr>Address </vt:lpstr>
      <vt:lpstr>Analysis (Pvt)</vt:lpstr>
      <vt:lpstr>Dashboard</vt:lpstr>
      <vt:lpstr>Table1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DB128835</cp:lastModifiedBy>
  <dcterms:created xsi:type="dcterms:W3CDTF">2015-06-05T18:17:20Z</dcterms:created>
  <dcterms:modified xsi:type="dcterms:W3CDTF">2025-11-22T22:03:14Z</dcterms:modified>
</cp:coreProperties>
</file>